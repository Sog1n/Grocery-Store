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Đăng nhập" sheetId="1" r:id="rId4"/>
    <sheet state="visible" name="Tìm kiếm và lọc sản phẩm" sheetId="2" r:id="rId5"/>
    <sheet state="visible" name="Quản lý đơn hàng (User)" sheetId="3" r:id="rId6"/>
    <sheet state="visible" name="Quản lý đơn hàng (Admin)" sheetId="4" r:id="rId7"/>
    <sheet state="visible" name="Quản lý sản phẩm" sheetId="5" r:id="rId8"/>
    <sheet state="visible" name="Giỏ hàng" sheetId="6" r:id="rId9"/>
    <sheet state="visible" name="Đặt hàng" sheetId="7" r:id="rId10"/>
    <sheet state="visible" name="Test Report" sheetId="8" r:id="rId11"/>
    <sheet state="visible" name="Thanh toán" sheetId="9" r:id="rId12"/>
  </sheets>
  <definedNames/>
  <calcPr/>
  <extLst>
    <ext uri="GoogleSheetsCustomDataVersion2">
      <go:sheetsCustomData xmlns:go="http://customooxmlschemas.google.com/" r:id="rId13" roundtripDataChecksum="qncL8hmfpftP2z9LsZdiY+4Y+mhanKwD2lj5xCkRfPM="/>
    </ext>
  </extLst>
</workbook>
</file>

<file path=xl/sharedStrings.xml><?xml version="1.0" encoding="utf-8"?>
<sst xmlns="http://schemas.openxmlformats.org/spreadsheetml/2006/main" count="672" uniqueCount="472">
  <si>
    <t>Module Code</t>
  </si>
  <si>
    <t>Đăng nhập</t>
  </si>
  <si>
    <t>Test requirement</t>
  </si>
  <si>
    <t>Tester</t>
  </si>
  <si>
    <t>Pass</t>
  </si>
  <si>
    <t>Fail</t>
  </si>
  <si>
    <t>Untested</t>
  </si>
  <si>
    <t>N/A</t>
  </si>
  <si>
    <t>Number of Test cases</t>
  </si>
  <si>
    <t>ID</t>
  </si>
  <si>
    <t>Test Case Description</t>
  </si>
  <si>
    <t>Test Case Procedure</t>
  </si>
  <si>
    <t>Expected Output</t>
  </si>
  <si>
    <t>Test Data</t>
  </si>
  <si>
    <t>Result</t>
  </si>
  <si>
    <t>Test Date</t>
  </si>
  <si>
    <t>Description</t>
  </si>
  <si>
    <t>TC-LOGIN-001</t>
  </si>
  <si>
    <t>Login lỗi khi thiếu email hoặc mật khẩu</t>
  </si>
  <si>
    <r>
      <rPr>
        <rFont val="Aptos Narrow"/>
        <color theme="1"/>
        <sz val="11.0"/>
      </rPr>
      <t xml:space="preserve">1. Gửi POST </t>
    </r>
    <r>
      <rPr>
        <rFont val="Arial Unicode MS"/>
        <color theme="1"/>
        <sz val="10.0"/>
      </rPr>
      <t xml:space="preserve">/api/user/login
</t>
    </r>
    <r>
      <rPr>
        <rFont val="Aptos Narrow"/>
        <color theme="1"/>
        <sz val="11.0"/>
      </rPr>
      <t>2. Không gửi email và password
3. Kiểm tra phản hồi</t>
    </r>
  </si>
  <si>
    <t>Thông báo lỗi: "Provide email, password</t>
  </si>
  <si>
    <t>email: ""password: ""</t>
  </si>
  <si>
    <t>Kiểm tra validate khi bỏ trống trường bắt buộc</t>
  </si>
  <si>
    <t>TC-LOGIN-002</t>
  </si>
  <si>
    <t>Login lỗi khi email chưa đăng ký</t>
  </si>
  <si>
    <r>
      <rPr>
        <rFont val="Aptos Narrow"/>
        <color theme="1"/>
        <sz val="11.0"/>
      </rPr>
      <t xml:space="preserve">1. Gửi POST </t>
    </r>
    <r>
      <rPr>
        <rFont val="Arial Unicode MS"/>
        <color theme="1"/>
        <sz val="10.0"/>
      </rPr>
      <t xml:space="preserve">/api/user/login
</t>
    </r>
    <r>
      <rPr>
        <rFont val="Aptos Narrow"/>
        <color theme="1"/>
        <sz val="11.0"/>
      </rPr>
      <t>2. Nhập email không tồn tại
3. Kiểm tra DB
4. Kiểm tra phản hồi</t>
    </r>
  </si>
  <si>
    <t>Thông báo lỗi: "User not available"</t>
  </si>
  <si>
    <t>email: notregistered@test.compassword: Password123!</t>
  </si>
  <si>
    <t>Xác minh hệ thống nhận biết email không tồn tại</t>
  </si>
  <si>
    <t>TC-LOGIN-003</t>
  </si>
  <si>
    <t>Login lỗi khi tài khoản chưa Active</t>
  </si>
  <si>
    <t>1. Tạo user trạng thái Pending
2. Đăng nhập với thông tin đúng
3. Kiểm tra validate status</t>
  </si>
  <si>
    <t>Thông báo lỗi: "Contact to Admin"</t>
  </si>
  <si>
    <t>email: pending@test.compassword: Password123!</t>
  </si>
  <si>
    <t>Kiểm tra login khi trạng thái tài khoản không kích hoạt</t>
  </si>
  <si>
    <t>TC-LOGIN-004</t>
  </si>
  <si>
    <t>Login lỗi khi sai mật khẩu</t>
  </si>
  <si>
    <t>1. Nhập email hợp lệ và mật khẩu sai
2. bcrypt.compare trả về false
3. Kiểm tra phản hồi</t>
  </si>
  <si>
    <r>
      <rPr>
        <rFont val="Aptos Narrow"/>
        <color theme="1"/>
        <sz val="11.0"/>
      </rPr>
      <t xml:space="preserve">Thông báo lỗi </t>
    </r>
    <r>
      <rPr>
        <rFont val="Arial Unicode MS"/>
        <color theme="1"/>
        <sz val="10.0"/>
      </rPr>
      <t>"Check your password"</t>
    </r>
  </si>
  <si>
    <t>email: user@test.compassword: WrongPassword123!</t>
  </si>
  <si>
    <t>Kiểm tra cơ chế so sánh mật khẩu</t>
  </si>
  <si>
    <t>TC-LOGIN-005</t>
  </si>
  <si>
    <t>Login thành công</t>
  </si>
  <si>
    <t>1. Nhập email &amp; mật khẩu đúng
2. Sinh token
3. Set cookie httpOnly
4. Trả kết quả</t>
  </si>
  <si>
    <t>Hệ thống trả về accessToken &amp; refreshToken</t>
  </si>
  <si>
    <t>email: validuser@test.compassword: Secret123!</t>
  </si>
  <si>
    <t>Kiểm tra luồng đăng nhập đầy đủ và sinh token</t>
  </si>
  <si>
    <t>TC-LOGIN-006</t>
  </si>
  <si>
    <t>Logout thành công</t>
  </si>
  <si>
    <t>1. User đang đăng nhập
2. Gửi request logout
3. Xoá cookie token</t>
  </si>
  <si>
    <r>
      <rPr>
        <rFont val="Aptos Narrow"/>
        <color theme="1"/>
        <sz val="11.0"/>
      </rPr>
      <t xml:space="preserve">Thông báo: </t>
    </r>
    <r>
      <rPr>
        <rFont val="Arial Unicode MS"/>
        <color theme="1"/>
        <sz val="10.0"/>
      </rPr>
      <t>"Logout successfully"</t>
    </r>
    <r>
      <rPr>
        <rFont val="Aptos Narrow"/>
        <color theme="1"/>
        <sz val="11.0"/>
      </rPr>
      <t>- Cookie bị xoá</t>
    </r>
  </si>
  <si>
    <t>userId: u1accessToken: valid-token</t>
  </si>
  <si>
    <t>Kiểm tra chức năng logout và huỷ token</t>
  </si>
  <si>
    <t>Tìm kiếm và lọc sản phẩm</t>
  </si>
  <si>
    <t>Expected Output (viết tự nhiên)</t>
  </si>
  <si>
    <t>TC-PRODUCT-001</t>
  </si>
  <si>
    <t>Lấy danh sách sản phẩm với phân trang mặc định</t>
  </si>
  <si>
    <t>1. Gửi request không truyền page/limit
2. Hệ thống dùng default page=1, limit=10
3. Lọc sản phẩm publish=true
4. Sắp xếp mới nhất → cũ nhất</t>
  </si>
  <si>
    <t>Hệ thống trả về 10 sản phẩm đầu tiên, hiển thị đúng trang mặc định, sản phẩm được sắp xếp theo thời gian tạo giảm dần và có đủ thông tin phân trang.</t>
  </si>
  <si>
    <t>page=null
limit=null</t>
  </si>
  <si>
    <t>PASS</t>
  </si>
  <si>
    <t>Kiểm tra phân trang mặc định</t>
  </si>
  <si>
    <t>TC-PRODUCT-002</t>
  </si>
  <si>
    <t>Lấy sản phẩm với phân trang tùy chỉnh</t>
  </si>
  <si>
    <t>1. Gửi request page=2, limit=20
2. Hệ thống tính skip=20
3. Trả về trang số 2 với 20 sản phẩm</t>
  </si>
  <si>
    <t>Hệ thống trả đúng danh sách sản phẩm trang thứ 2, số lượng 20 sản phẩm, tổng số trang hiển thị chính xác.</t>
  </si>
  <si>
    <t>page=2
limit=20</t>
  </si>
  <si>
    <t>Kiểm tra phân trang tùy chỉnh</t>
  </si>
  <si>
    <t>TC-PRODUCT-003</t>
  </si>
  <si>
    <t>Lọc sản phẩm theo category</t>
  </si>
  <si>
    <t>1. Nhập categoryId
2. Lọc sản phẩm thuộc category
3. Chỉ lấy publish=true
4. Có phân trang</t>
  </si>
  <si>
    <t>Hệ thống trả về danh sách sản phẩm thuộc category tương ứng cùng thông tin danh mục và tổng số sản phẩm.</t>
  </si>
  <si>
    <t>categoryId=cat123</t>
  </si>
  <si>
    <t>Kiểm tra lọc theo category</t>
  </si>
  <si>
    <t>TC-PRODUCT-004</t>
  </si>
  <si>
    <t>Lọc sản phẩm theo category + subCategory</t>
  </si>
  <si>
    <t>1. Nhập categoryId và subCategoryId
2. Lọc sản phẩm theo cả hai tiêu chí
3. Trả danh sách phân trang</t>
  </si>
  <si>
    <t>Hệ thống trả danh sách sản phẩm phù hợp với cả category và subCategory, bao gồm thông tin danh mục và danh mục con.</t>
  </si>
  <si>
    <t>categoryId=cat123
subCategoryId=sub456</t>
  </si>
  <si>
    <t>Kiểm tra lọc theo nhiều tiêu chí</t>
  </si>
  <si>
    <t>TC-PRODUCT-005</t>
  </si>
  <si>
    <t>Lấy chi tiết sản phẩm</t>
  </si>
  <si>
    <t>1. Nhập productId
2. Query chi tiết sản phẩm
3. Populate category và subCategory</t>
  </si>
  <si>
    <t>Hệ thống hiển thị đầy đủ thông tin chi tiết sản phẩm, bao gồm giá, mô tả, tồn kho, hình ảnh và thông tin danh mục liên quan.</t>
  </si>
  <si>
    <t>productId=prod123</t>
  </si>
  <si>
    <t>Kiểm tra chi tiết sản phẩm</t>
  </si>
  <si>
    <t>TC-PRODUCT-006</t>
  </si>
  <si>
    <t>Tìm kiếm sản phẩm theo tên</t>
  </si>
  <si>
    <t>1. Nhập từ khóa tìm kiếm
2. Hệ thống tìm sản phẩm theo regex không phân biệt hoa thường
3. Trả kết quả phân trang</t>
  </si>
  <si>
    <t>Hệ thống trả danh sách sản phẩm khớp từ khóa tìm kiếm theo tên (không phân biệt hoa thường) kèm tổng số kết quả.</t>
  </si>
  <si>
    <t>search="laptop"</t>
  </si>
  <si>
    <t>Kiểm tra tính năng tìm kiếm</t>
  </si>
  <si>
    <t>TC-PRODUCT-007</t>
  </si>
  <si>
    <t>Lọc sản phẩm theo khoảng giá</t>
  </si>
  <si>
    <t>1. Nhập minPrice và maxPrice2. Lọc sản phẩm trong khoảng giá3. Chỉ lấy publish=true</t>
  </si>
  <si>
    <t>Hệ thống trả danh sách sản phẩm nằm trong khoảng giá yêu cầu cùng tổng số sản phẩm khớp điều kiện.</t>
  </si>
  <si>
    <t>minPrice=100000
maxPrice=500000</t>
  </si>
  <si>
    <t>Kiểm tra lọc theo giá</t>
  </si>
  <si>
    <t>TC-PRODUCT-008</t>
  </si>
  <si>
    <t>Sắp xếp sản phẩm theo giá</t>
  </si>
  <si>
    <t>1. Chọn sortBy="price", sortOrder="asc" hoặc "desc"
2. Query và sort theo giá
3. Trả danh sách phân trang</t>
  </si>
  <si>
    <t>Hệ thống trả danh sách sản phẩm được sắp xếp đúng theo thứ tự giá (tăng hoặc giảm) theo yêu cầu.</t>
  </si>
  <si>
    <t>sortBy=price
sortOrder=asc</t>
  </si>
  <si>
    <t>Kiểm tra sắp xếp theo giá</t>
  </si>
  <si>
    <t>TC-PRODUCT-009</t>
  </si>
  <si>
    <t>Lấy danh sách sản phẩm hết hàng</t>
  </si>
  <si>
    <t>1. Lọc sản phẩm stock=0
2. Chỉ lấy publish=true</t>
  </si>
  <si>
    <t>Hệ thống trả danh sách sản phẩm đang hết hàng, có đầy đủ thông tin số lượng và mô tả.</t>
  </si>
  <si>
    <t>stock=0</t>
  </si>
  <si>
    <t>Kiểm tra lọc sản phẩm hết hàng</t>
  </si>
  <si>
    <t>Quản lý đơn hàng (User)</t>
  </si>
  <si>
    <t>TC-USER-ORDER-001</t>
  </si>
  <si>
    <t>Lấy danh sách đơn hàng thành công</t>
  </si>
  <si>
    <t>1. Gửi yêu cầu lấy đơn hàng của user
2. Lọc theo userId
3. Sắp xếp từ mới đến cũ
4. Populate sản phẩm &amp; địa chỉ</t>
  </si>
  <si>
    <t>Hệ thống trả danh sách đơn hàng đầy đủ, sắp xếp đúng thứ tự, gồm thông tin sản phẩm và địa chỉ giao hàng.</t>
  </si>
  <si>
    <t>userId = user123</t>
  </si>
  <si>
    <t>Kiểm tra lấy lịch sử đơn hàng</t>
  </si>
  <si>
    <t>TC-USER-ORDER-002</t>
  </si>
  <si>
    <t>User chưa có đơn hàng</t>
  </si>
  <si>
    <t>1. Query đơn hàng của user mới
2. DB trả mảng rỗng</t>
  </si>
  <si>
    <t>Hệ thống trả danh sách rỗng nhưng vẫn hiển thị trạng thái thành công.</t>
  </si>
  <si>
    <t>userId = newuser456</t>
  </si>
  <si>
    <t>Kiểm tra trường hợp lịch sử trống</t>
  </si>
  <si>
    <t>TC-USER-ORDER-003</t>
  </si>
  <si>
    <t>Lỗi truy vấn DB</t>
  </si>
  <si>
    <t>1. Mô phỏng lỗi kết nối DB
2. Truy vấn thất bại</t>
  </si>
  <si>
    <t>Hệ thống báo lỗi hệ thống và không trả dữ liệu đơn hàng.</t>
  </si>
  <si>
    <t>databaseError = timeout</t>
  </si>
  <si>
    <t>Kiểm tra xử lý lỗi DB</t>
  </si>
  <si>
    <t>TC-USER-ORDER-004</t>
  </si>
  <si>
    <t>Hủy đơn hàng pending</t>
  </si>
  <si>
    <t>1. Nhập orderId
2. Kiểm tra trạng thái pending
3. Khôi phục tồn kho
4. Cập nhật trạng thái cancelled</t>
  </si>
  <si>
    <t>Đơn hàng được hủy thành công, tồn kho được khôi phục đúng số lượng và thông tin cập nhật tồn kho được trả về.</t>
  </si>
  <si>
    <t>orderId = order123
quantity = 2
oldStock = 8</t>
  </si>
  <si>
    <t>Kiểm tra hủy đơn ở trạng thái pending</t>
  </si>
  <si>
    <t>TC-USER-ORDER-005</t>
  </si>
  <si>
    <t>Hủy đơn không tồn tại</t>
  </si>
  <si>
    <t>1. Nhập orderId sai2. Đơn hàng không được tìm thấy</t>
  </si>
  <si>
    <t>Hệ thống thông báo không tìm thấy đơn hàng và không thực hiện thao tác hủy.</t>
  </si>
  <si>
    <t>orderId = invalid-order-id</t>
  </si>
  <si>
    <t>Kiểm tra trường hợp orderId sai</t>
  </si>
  <si>
    <t>TC-USER-ORDER-006</t>
  </si>
  <si>
    <t>Hủy đơn không phải pending</t>
  </si>
  <si>
    <t>1. Nhập orderId
2. Kiểm tra trạng thái không phải pending</t>
  </si>
  <si>
    <t>Hệ thống từ chối yêu cầu hủy vì đơn hàng không còn ở trạng thái chờ xử lý.</t>
  </si>
  <si>
    <t>currentStatus = delivered</t>
  </si>
  <si>
    <t>Kiểm tra quy tắc trạng thái đơn hàng</t>
  </si>
  <si>
    <t>TC-USER-ORDER-007</t>
  </si>
  <si>
    <t>Hủy đơn với ObjectId</t>
  </si>
  <si>
    <t>1. Nhập orderId dạng ObjectId
2. Hệ thống query theo _id
3. Xử lý hủy bình thường</t>
  </si>
  <si>
    <t>Hệ thống nhận diện đúng ObjectId, xử lý hủy thành công và khôi phục tồn kho.</t>
  </si>
  <si>
    <t>orderId = ObjectId</t>
  </si>
  <si>
    <t>Kiểm tra orderId dạng ObjectId</t>
  </si>
  <si>
    <t>TC-USER-ORDER-008</t>
  </si>
  <si>
    <t>Hủy đơn với mã chuỗi</t>
  </si>
  <si>
    <t>1. Nhập orderId dạng chuỗi
2. Query theo orderId
3. Xử lý hủy</t>
  </si>
  <si>
    <t>Hệ thống tìm đúng đơn hàng theo mã string và hủy thành công, tồn kho được phục hồi.</t>
  </si>
  <si>
    <t>orderId = ORD-001</t>
  </si>
  <si>
    <t>Kiểm tra orderId dạng custom string</t>
  </si>
  <si>
    <t>TC-USER-ORDER-009</t>
  </si>
  <si>
    <t>Hủy đơn nhiều sản phẩm</t>
  </si>
  <si>
    <t>1. Đơn hàng có nhiều sản phẩm2. Khôi phục tồn kho từng item</t>
  </si>
  <si>
    <t>Tồn kho của tất cả sản phẩm được khôi phục chính xác và trả về danh sách cập nhật tồn kho.</t>
  </si>
  <si>
    <t>prod1:8→10
prod2:5→8</t>
  </si>
  <si>
    <t>Kiểm tra đơn hàng nhiều sản phẩm</t>
  </si>
  <si>
    <t>TC-USER-ORDER-010</t>
  </si>
  <si>
    <t>Lỗi DB khi hủy đơn</t>
  </si>
  <si>
    <t>1. Mô phỏng lỗi DB2. Hủy đơn thất bại</t>
  </si>
  <si>
    <t>Hệ thống báo lỗi hệ thống, không thay đổi tồn kho và không cập nhật đơn hàng.</t>
  </si>
  <si>
    <t>error = Connection lost</t>
  </si>
  <si>
    <t>Kiểm tra xử lý lỗi khi hủy</t>
  </si>
  <si>
    <t>Quản lý đơn hàng (Admin)</t>
  </si>
  <si>
    <t>Expected Output (dạng mô tả tự nhiên)</t>
  </si>
  <si>
    <t>TC-ADMIN-ORDER-001</t>
  </si>
  <si>
    <t>Admin xem toàn bộ đơn hàng</t>
  </si>
  <si>
    <t>1. Lấy tất cả đơn hàng
2. Sắp xếp theo ngày tạo giảm dần
3. Populate thông tin user
4. Populate địa chỉ giao hàng
5. Populate sản phẩm</t>
  </si>
  <si>
    <t>Hệ thống trả về đầy đủ danh sách đơn hàng, gồm thông tin khách hàng, địa chỉ giao hàng và từng sản phẩm trong đơn; danh sách được sắp xếp từ mới đến cũ.</t>
  </si>
  <si>
    <t>adminId = admin123</t>
  </si>
  <si>
    <t>Kiểm tra quyền admin xem toàn bộ đơn</t>
  </si>
  <si>
    <t>TC-ADMIN-ORDER-002</t>
  </si>
  <si>
    <t>Lỗi truy vấn DB khi lấy danh sách đơn</t>
  </si>
  <si>
    <t>1. Mô phỏng lỗi DB
2. Truy vấn thất bại</t>
  </si>
  <si>
    <t>error = Connection timeout</t>
  </si>
  <si>
    <t>Kiểm tra xử lý lỗi hệ thống</t>
  </si>
  <si>
    <t>TC-ADMIN-ORDER-003</t>
  </si>
  <si>
    <t>Cập nhật trạng thái từ pending → confirmed</t>
  </si>
  <si>
    <t>1. Nhập orderId và trạng thái mới
2. Kiểm tra hợp lệ
3. Cập nhật trạng thái
4. Gửi socket event</t>
  </si>
  <si>
    <t>Trạng thái đơn hàng được cập nhật thành công sang “confirmed” và socket event được phát đi.</t>
  </si>
  <si>
    <t>orderId = order123
currentStatus = pending</t>
  </si>
  <si>
    <t>Kiểm tra cập nhật trạng thái</t>
  </si>
  <si>
    <t>TC-ADMIN-ORDER-004</t>
  </si>
  <si>
    <t>Nhập trạng thái không hợp lệ</t>
  </si>
  <si>
    <t>1. Gửi trạng thái không nằm trong tập cho phép
2. Hệ thống kiểm tra
3. Từ chối</t>
  </si>
  <si>
    <t>Hệ thống từ chối cập nhật và thông báo trạng thái không hợp lệ.</t>
  </si>
  <si>
    <t>order_status = invalid_status</t>
  </si>
  <si>
    <t>Kiểm tra validate status</t>
  </si>
  <si>
    <t>TC-ADMIN-ORDER-005</t>
  </si>
  <si>
    <t>Cập nhật đơn không tồn tại</t>
  </si>
  <si>
    <t>1. Nhập orderId sai
2. Không tìm thấy đơn</t>
  </si>
  <si>
    <t>Hệ thống thông báo không tìm thấy đơn hàng.</t>
  </si>
  <si>
    <t>orderId = non-existent</t>
  </si>
  <si>
    <t>Kiểm tra khi đơn không tồn tại</t>
  </si>
  <si>
    <t>TC-ADMIN-ORDER-006</t>
  </si>
  <si>
    <t>Cập nhật nhưng trạng thái không thay đổi</t>
  </si>
  <si>
    <t>1. Gửi trạng thái mới trùng trạng thái hiện tại
2. Hệ thống không cập nhật</t>
  </si>
  <si>
    <t>Hệ thống thông báo trạng thái không thay đổi và không thực hiện cập nhật.</t>
  </si>
  <si>
    <t>currentStatus = pendingnewStatus = pending</t>
  </si>
  <si>
    <t>Kiểm tra không thay đổi trạng thái</t>
  </si>
  <si>
    <t>TC-ADMIN-ORDER-007</t>
  </si>
  <si>
    <t>Chuyển trạng thái không hợp lệ theo luồng</t>
  </si>
  <si>
    <t>1. Kiểm tra chuyển trạng thái delivered → confirmed
2. Không hợp lệ</t>
  </si>
  <si>
    <t>Hệ thống từ chối vì luồng chuyển trạng thái không hợp lệ.</t>
  </si>
  <si>
    <t>currentStatus = deliverednew
Status = confirmed</t>
  </si>
  <si>
    <t>Kiểm tra logic transition</t>
  </si>
  <si>
    <t>TC-ADMIN-ORDER-008</t>
  </si>
  <si>
    <t>Hủy đơn hàng và khôi phục tồn kho</t>
  </si>
  <si>
    <t>1. Nhập orderId
2. Trạng thái hiện tại cho phép hủy
3. Khôi phục tồn kho từng sản phẩm
4. Cập nhật trạng thái cancelled</t>
  </si>
  <si>
    <t>Hệ thống hủy đơn thành công, tồn kho được khôi phục đúng số lượng và thông tin cập nhật tồn kho được trả về.</t>
  </si>
  <si>
    <t>stock:10→12
quantity:2</t>
  </si>
  <si>
    <t>Kiểm tra hủy đơn &amp; restore stock</t>
  </si>
  <si>
    <t>TC-ADMIN-ORDER-009</t>
  </si>
  <si>
    <t>Kiểm tra toàn bộ luồng chuyển trạng thái hợp lệ</t>
  </si>
  <si>
    <t>1. pending → confirmed
2. confirmed → shipping
3. shipping → delivered</t>
  </si>
  <si>
    <t>Hệ thống xử lý đúng tất cả các trạng thái hợp lệ và cập nhật chính xác.</t>
  </si>
  <si>
    <t>transitions list</t>
  </si>
  <si>
    <t>Kiểm tra toàn bộ flow transition</t>
  </si>
  <si>
    <t>TC-ADMIN-ORDER-010</t>
  </si>
  <si>
    <t>Hủy đơn pending qua endpoint</t>
  </si>
  <si>
    <t>1. Nhập orderId2. Kiểm tra pending3. Khôi phục tồn kho4. Cập nhật cancelled</t>
  </si>
  <si>
    <t>Đơn hàng được hủy thành công, tồn kho được tăng đúng số lượng và trạng thái chuyển sang cancelled.</t>
  </si>
  <si>
    <t>stock:5→8</t>
  </si>
  <si>
    <t>Kiểm tra API cancel</t>
  </si>
  <si>
    <t>TC-ADMIN-ORDER-011</t>
  </si>
  <si>
    <t>Lỗi khi hủy đơn không phải pending</t>
  </si>
  <si>
    <t>1. Nhập orderId2. Trạng thái không phải pending</t>
  </si>
  <si>
    <t>currentStatus = confirmed</t>
  </si>
  <si>
    <t>Kiểm tra quy tắc hủy đơn</t>
  </si>
  <si>
    <t>TC-ADMIN-ORDER-012</t>
  </si>
  <si>
    <t>1. Đơn có nhiều sản phẩm2. Khôi phục tồn kho từng item</t>
  </si>
  <si>
    <t>Hệ thống khôi phục chính xác tồn kho của từng sản phẩm và trả về danh sách cập nhật.</t>
  </si>
  <si>
    <t>prod1:10→12
prod2:20→25</t>
  </si>
  <si>
    <t>Kiểm tra hủy đơn nhiều item</t>
  </si>
  <si>
    <t>TC-ADMIN-ORDER-013</t>
  </si>
  <si>
    <t>1. Mô phỏng lỗi DB2. Xử lý exception</t>
  </si>
  <si>
    <t>Hệ thống thông báo lỗi hệ thống, không thay đổi tồn kho và không cập nhật đơn.</t>
  </si>
  <si>
    <t>error = save failed</t>
  </si>
  <si>
    <t>Kiểm tra lỗi khi hủy</t>
  </si>
  <si>
    <t>Quản lý sản phẩm</t>
  </si>
  <si>
    <t>TC-ADMIN-PRODUCT-001</t>
  </si>
  <si>
    <t>Tạo sản phẩm mới thành công</t>
  </si>
  <si>
    <t>1. Nhập đầy đủ các trường bắt buộc
2. Hệ thống validate dữ liệu
3. Tạo đối tượng ProductModel
4. Lưu vào database
5. Bắn socket event
6. Trả kết quả thành công</t>
  </si>
  <si>
    <t>Hệ thống tạo mới sản phẩm thành công, lưu đúng dữ liệu vào database, trạng thái publish mặc định là false và gửi thông báo cập nhật qua socket.</t>
  </si>
  <si>
    <t>name, name_no_accent, image[0], category, subCategory, unit, stock=100, price=50000, discount=10, description</t>
  </si>
  <si>
    <t>Kiểm tra luồng tạo sản phẩm mới</t>
  </si>
  <si>
    <t>TC-ADMIN-PRODUCT-002</t>
  </si>
  <si>
    <t>Thiếu trường bắt buộc khi tạo sản phẩm</t>
  </si>
  <si>
    <t>1. Gửi request thiếu các trường required
2. Hệ thống kiểm tra dữ liệu
3. Từ chối tạo sản phẩm</t>
  </si>
  <si>
    <t>Hệ thống từ chối tạo sản phẩm và hiển thị thông báo yêu cầu nhập đầy đủ các trường bắt buộc (tên, ảnh, danh mục, đơn vị, giá, mô tả,...).</t>
  </si>
  <si>
    <t>name = "Fresh Apples", image = [], category = []</t>
  </si>
  <si>
    <t>Kiểm tra validate khi thiếu dữ liệu</t>
  </si>
  <si>
    <t>TC-ADMIN-PRODUCT-003</t>
  </si>
  <si>
    <t>Lấy danh sách sản phẩm với phân trang &amp; tìm kiếm</t>
  </si>
  <si>
    <t>1. Nhập page, limit, search
2. Hệ thống tính skip
3. Thực hiện query với phân trang
4. Populate category, subCategory
5. Trả danh sách sản phẩm</t>
  </si>
  <si>
    <t>Hệ thống trả danh sách sản phẩm ở trang thứ 2, mỗi trang 10 sản phẩm, kết quả đã được lọc theo từ khóa “apple” và có đầy đủ thông tin tổng số bản ghi và tổng số trang.</t>
  </si>
  <si>
    <t>page=2, limit=10, search="apple"</t>
  </si>
  <si>
    <t>Kiểm tra phân trang + tìm kiếm cho admin</t>
  </si>
  <si>
    <t>TC-ADMIN-PRODUCT-004</t>
  </si>
  <si>
    <t>Cập nhật thông tin sản phẩm</t>
  </si>
  <si>
    <t>1. Gửi _id sản phẩm và fields cần cập nhật
2. Hệ thống validate _id
3. Thực hiện updateOne
4. Gửi socket event
5. Trả kết quả</t>
  </si>
  <si>
    <t>Hệ thống cập nhật thành công thông tin sản phẩm (giá, tồn kho, publish...), ghi nhận 1 bản ghi được sửa và gửi thông báo cập nhật qua socket.</t>
  </si>
  <si>
    <t>_id = prod123, price=45000, stock=150, publish=true</t>
  </si>
  <si>
    <t>Kiểm tra cập nhật sản phẩm</t>
  </si>
  <si>
    <t>TC-ADMIN-PRODUCT-005</t>
  </si>
  <si>
    <t>Cập nhật không truyền _id</t>
  </si>
  <si>
    <t>1. Gửi request update không có _id
2. Hệ thống validate
3. Từ chối xử lý</t>
  </si>
  <si>
    <t>Hệ thống từ chối cập nhật và thông báo yêu cầu cung cấp product _id.</t>
  </si>
  <si>
    <t>chỉ có price=45000, không có _id</t>
  </si>
  <si>
    <t>Kiểm tra lỗi thiếu _id khi update</t>
  </si>
  <si>
    <t>TC-ADMIN-PRODUCT-006</t>
  </si>
  <si>
    <t>Xóa sản phẩm</t>
  </si>
  <si>
    <t>1. Gửi _id sản phẩm cần xóa2. Hệ thống gọi deleteOne3. Gửi socket event4. Trả kết quả xóa</t>
  </si>
  <si>
    <t>Hệ thống xóa sản phẩm thành công, số lượng bản ghi bị xóa là 1 và gửi thông báo xóa sản phẩm qua socket.</t>
  </si>
  <si>
    <t>_id = prod123</t>
  </si>
  <si>
    <t>Kiểm tra chức năng xóa sản phẩm</t>
  </si>
  <si>
    <t>TC-ADMIN-PRODUCT-007</t>
  </si>
  <si>
    <t>Xóa sản phẩm không truyền _id</t>
  </si>
  <si>
    <t>1. Gửi request delete không có _id2. Hệ thống kiểm tra3. Từ chối xử lý</t>
  </si>
  <si>
    <t>Hệ thống từ chối xóa và thông báo yêu cầu cung cấp _id sản phẩm.</t>
  </si>
  <si>
    <r>
      <rPr>
        <rFont val="Aptos Narrow"/>
        <color theme="1"/>
        <sz val="11.0"/>
      </rPr>
      <t xml:space="preserve">body rỗng </t>
    </r>
    <r>
      <rPr>
        <rFont val="Arial Unicode MS"/>
        <color theme="1"/>
        <sz val="10.0"/>
      </rPr>
      <t>{}</t>
    </r>
  </si>
  <si>
    <t>Kiểm tra validate khi xóa thiếu _id</t>
  </si>
  <si>
    <t>TC-ADMIN-PRODUCT-008</t>
  </si>
  <si>
    <t>1. Gửi danh sách category id2. Hệ thống query với toán tử $in3. Giới hạn tối đa 15 sản phẩm4. Trả danh sách</t>
  </si>
  <si>
    <t>Hệ thống trả về danh sách sản phẩm thuộc các category đã chọn, số lượng tối đa 15 sản phẩm, dữ liệu hiển thị đúng theo bộ lọc.</t>
  </si>
  <si>
    <t>id = ["cat123", "cat456"]</t>
  </si>
  <si>
    <t>Kiểm tra lọc sản phẩm theo danh mục</t>
  </si>
  <si>
    <t>TC-ADMIN-PRODUCT-009</t>
  </si>
  <si>
    <t>Lấy chi tiết 1 sản phẩm</t>
  </si>
  <si>
    <t>1. Gửi productId2. Hệ thống query theo _id3. Trả về đầy đủ thông tin</t>
  </si>
  <si>
    <t>Hệ thống trả về đầy đủ chi tiết sản phẩm tương ứng với productId, bao gồm tên, giá, mô tả, tồn kho, hình ảnh, danh mục,…</t>
  </si>
  <si>
    <t>productId = "prod123"</t>
  </si>
  <si>
    <t>Kiểm tra xem chi tiết sản phẩm</t>
  </si>
  <si>
    <t>TC-ADMIN-PRODUCT-010</t>
  </si>
  <si>
    <t>Tìm kiếm nâng cao với nhiều bộ lọc</t>
  </si>
  <si>
    <t>1. Gửi search + category + khoảng giá + sort2. Hệ thống build query tổng hợp3. Sắp xếp theo giá4. Phân trang kết quả</t>
  </si>
  <si>
    <t>Hệ thống trả về danh sách sản phẩm khớp với từ khóa tìm kiếm, danh mục, khoảng giá và được sắp xếp đúng theo giá; kết quả được phân trang đầy đủ thông tin.</t>
  </si>
  <si>
    <t>search="apple", categoryId=["cat123"], minPrice=30000, maxPrice=60000, sortBy="price"</t>
  </si>
  <si>
    <t>Kiểm tra search nâng cao cho admin</t>
  </si>
  <si>
    <t>Giỏ hàng</t>
  </si>
  <si>
    <t>TC-CART-001</t>
  </si>
  <si>
    <t>Thêm sản phẩm khi thiếu productId</t>
  </si>
  <si>
    <t>1. Gửi request thêm vào giỏ hàng
2. Không gửi productId
3. Hệ thống kiểm tra dữ liệu</t>
  </si>
  <si>
    <t>Hệ thống không thêm được sản phẩm và hiển thị thông báo yêu cầu cung cấp productId.</t>
  </si>
  <si>
    <t>userId: u1
productId: null</t>
  </si>
  <si>
    <t>Kiểm tra validate productId</t>
  </si>
  <si>
    <t>TC-CART-002</t>
  </si>
  <si>
    <t>Thêm sản phẩm không tồn tại</t>
  </si>
  <si>
    <t>1. Gửi productId không hợp lệ
2. Hệ thống tìm kiếm sản phẩm trong DB
3. Không tìm thấy</t>
  </si>
  <si>
    <t>Hệ thống thông báo sản phẩm không tồn tại và không thêm vào giỏ hàng.</t>
  </si>
  <si>
    <t>userId: u1
productId: invalid-product-id</t>
  </si>
  <si>
    <t>Kiểm tra sản phẩm không tồn tại</t>
  </si>
  <si>
    <t>TC-CART-003</t>
  </si>
  <si>
    <t>Thêm sản phẩm chưa publish</t>
  </si>
  <si>
    <t>1. Chọn sản phẩm publish = false
2. Gửi request thêm vào giỏ</t>
  </si>
  <si>
    <t>Hệ thống từ chối thêm sản phẩm do sản phẩm không được phép bán (chưa publish).</t>
  </si>
  <si>
    <t>publish: false
stock: 10</t>
  </si>
  <si>
    <t>Kiểm tra trạng thái publish</t>
  </si>
  <si>
    <t>TC-CART-004</t>
  </si>
  <si>
    <t>Thêm sản phẩm hết hàng</t>
  </si>
  <si>
    <t>1. Chọn sản phẩm stock = 0
2. Gửi request thêm vào giỏ</t>
  </si>
  <si>
    <t>Hệ thống không thể thêm sản phẩm vì số lượng tồn kho bằng 0.</t>
  </si>
  <si>
    <t>publish: true
stock: 0</t>
  </si>
  <si>
    <t>Kiểm tra tồn kho</t>
  </si>
  <si>
    <t>TC-CART-005</t>
  </si>
  <si>
    <t>Không cho phép thêm sản phẩm trùng</t>
  </si>
  <si>
    <t>1. Sản phẩm đã có trong giỏ
2. Gửi request thêm lần 2</t>
  </si>
  <si>
    <t>Hệ thống thông báo sản phẩm đã có trong giỏ và không cho phép thêm trùng.</t>
  </si>
  <si>
    <t>userId: u1
productId: p1
existingCartItem: c1</t>
  </si>
  <si>
    <t>Kiểm tra sản phẩm trùng lặp</t>
  </si>
  <si>
    <t>TC-CART-006</t>
  </si>
  <si>
    <t>Thêm sản phẩm thành công</t>
  </si>
  <si>
    <t>1. productId hợp lệ
2. publish = true
3. stock &gt; 0
4. Không trùng trong giỏ</t>
  </si>
  <si>
    <t>Hệ thống thêm sản phẩm vào giỏ hàng thành công và hiển thị sản phẩm vừa được thêm với số lượng mặc định là 1.</t>
  </si>
  <si>
    <t>productId: p1
stock: 5</t>
  </si>
  <si>
    <t>Kiểm tra luồng thêm sản phẩm thành công</t>
  </si>
  <si>
    <t>TC-CART-007</t>
  </si>
  <si>
    <t>Lấy danh sách giỏ hàng</t>
  </si>
  <si>
    <t>1. Gửi request lấy giỏ
2. Hệ thống kiểm tra trạng thái từng sản phẩm</t>
  </si>
  <si>
    <t>Hệ thống hiển thị toàn bộ sản phẩm trong giỏ hàng kèm trạng thái như hết hàng, ngừng bán và thống kê tổng số sản phẩm.</t>
  </si>
  <si>
    <t>Danh sách gồm 2 items</t>
  </si>
  <si>
    <t>Kiểm tra trạng thái và thống kê giỏ hàng</t>
  </si>
  <si>
    <t>TC-CART-008</t>
  </si>
  <si>
    <t>Cập nhật số lượng sản phẩm</t>
  </si>
  <si>
    <t>1. Nhập số lượng mới
2. Kiểm tra tồn kho
3. Cập nhật lại</t>
  </si>
  <si>
    <t>Hệ thống cập nhật số lượng sản phẩm và hiển thị lại thông tin đúng theo số lượng mới.</t>
  </si>
  <si>
    <t>quantity: 3
stock: 5</t>
  </si>
  <si>
    <t>Kiểm tra cập nhật số lượng</t>
  </si>
  <si>
    <t>TC-CART-009</t>
  </si>
  <si>
    <t>Cập nhật vượt quá tồn kho</t>
  </si>
  <si>
    <t>1. Nhập số lượng lớn hơn stock
2. Gửi request cập nhật</t>
  </si>
  <si>
    <t>Hệ thống từ chối cập nhật vì số lượng yêu cầu vượt quá số lượng tồn kho cho phép.</t>
  </si>
  <si>
    <t>quantity: 10
stock: 1</t>
  </si>
  <si>
    <t>Kiểm tra giới hạn số lượng theo tồn kho</t>
  </si>
  <si>
    <t>TC-CART-010</t>
  </si>
  <si>
    <t>Xóa sản phẩm khỏi giỏ</t>
  </si>
  <si>
    <t>1. Gửi cartItemId
2. Hệ thống xóa item
3. Cập nhật danh sách</t>
  </si>
  <si>
    <t>Sản phẩm được xóa khỏi giỏ hàng và hệ thống hiển thị danh sách giỏ hàng đã được cập nhật lại chính xác.</t>
  </si>
  <si>
    <t>cartItemId: c1
productId: p1</t>
  </si>
  <si>
    <t>Đặt hàng</t>
  </si>
  <si>
    <t>TC-ORDER-001</t>
  </si>
  <si>
    <t>Tạo đơn hàng COD thành công</t>
  </si>
  <si>
    <t>1. Nhập thông tin đơn hàng với phương thức COD
2. Kiểm tra sản phẩm hợp lệ và còn hàng
3. Trừ tồn kho theo số lượng đặt
4. Tạo đơn hàng
5. Xóa giỏ hàng người dùng
6. Cập nhật shopping_cart thành rỗng
7. Trả về thông tin đơn hàng</t>
  </si>
  <si>
    <t>Đơn hàng được tạo thành công, tồn kho được trừ đúng số lượng, giỏ hàng được xóa và hệ thống hiển thị đầy đủ thông tin đơn hàng mới.</t>
  </si>
  <si>
    <t>userId: user123
list_items: 1
 itemstock: 10 → 8</t>
  </si>
  <si>
    <t>Kiểm tra luồng tạo đơn hàng COD</t>
  </si>
  <si>
    <t>TC-ORDER-002</t>
  </si>
  <si>
    <t>Đặt hàng với sản phẩm không tồn tại</t>
  </si>
  <si>
    <t>1. Gửi productId không hợp lệ
2. Hệ thống tìm kiếm sản phẩm
3. Không tìm thấy sản phẩm
4. Không tạo đơn hàng</t>
  </si>
  <si>
    <t>Hệ thống thông báo không thể tạo đơn hàng vì sản phẩm không tồn tại và không tạo mới đơn hàng.</t>
  </si>
  <si>
    <t>productId: invalid-product-id</t>
  </si>
  <si>
    <t>Kiểm tra lỗi sản phẩm không tồn tại</t>
  </si>
  <si>
    <t>TC-ORDER-003</t>
  </si>
  <si>
    <t>Đặt hàng với sản phẩm đã ngừng bán</t>
  </si>
  <si>
    <t>1. Gửi sản phẩm publish=false
2. Kiểm tra trạng thái publish
3. Từ chối tạo đơn hàng</t>
  </si>
  <si>
    <t>Hệ thống từ chối tạo đơn hàng và thông báo sản phẩm đã ngừng bán. Không có đơn hàng nào được tạo.</t>
  </si>
  <si>
    <t>publish: false
quantity: 2</t>
  </si>
  <si>
    <t>Kiểm tra sản phẩm ngừng kinh doanh</t>
  </si>
  <si>
    <t>TC-ORDER-004</t>
  </si>
  <si>
    <t>Đặt hàng khi số lượng yêu cầu vượt quá tồn kho</t>
  </si>
  <si>
    <t>1. Yêu cầu quantity &gt; stock
2. Kiểm tra tồn kho
3. Từ chối tạo đơn hàng</t>
  </si>
  <si>
    <t>Hệ thống thông báo số lượng tồn kho không đủ và không tạo đơn hàng. Tồn kho không bị thay đổi.</t>
  </si>
  <si>
    <t>stock: 1
quantity: 2</t>
  </si>
  <si>
    <t>Kiểm tra quy tắc tồn kho</t>
  </si>
  <si>
    <t>TC-ORDER-005</t>
  </si>
  <si>
    <t>Lấy thông tin chi tiết đơn hàng</t>
  </si>
  <si>
    <t>1. Nhập orderId
2. Tìm đơn hàng thuộc user
3. Populate sản phẩm và địa chỉ
4. Trả về dữ liệu đầy đủ</t>
  </si>
  <si>
    <t>Hệ thống trả về đầy đủ chi tiết đơn hàng gồm sản phẩm, địa chỉ giao hàng, phương thức thanh toán và tổng tiền.</t>
  </si>
  <si>
    <t>orderId: order123
userId: user123</t>
  </si>
  <si>
    <t>Kiểm tra truy xuất chi tiết đơn hàng</t>
  </si>
  <si>
    <t>TC-ORDER-006</t>
  </si>
  <si>
    <t>Hủy đơn hàng</t>
  </si>
  <si>
    <t>1. Nhập orderId để hủy
2. Hoàn trả tồn kho
3. Cập nhật trạng thái đơn hàng
4. Xác nhận hủy</t>
  </si>
  <si>
    <t>Đơn hàng được hủy thành công, tồn kho được hoàn lại và trạng thái đơn hàng cập nhật thành “Đã hủy”.</t>
  </si>
  <si>
    <t>orderId: order123
quantity: 2</t>
  </si>
  <si>
    <t>Kiểm tra luồng hủy đơn hàng</t>
  </si>
  <si>
    <t>TC-ORDER-007</t>
  </si>
  <si>
    <t>Tính phí vận chuyển</t>
  </si>
  <si>
    <t>1. Nhập subtotal và địa chỉ giao hàng
2. Áp dụng logic tính phí
3. Áp dụng miễn phí nếu đủ điều kiện</t>
  </si>
  <si>
    <t>Hệ thống tính đúng phí vận chuyển dựa trên giá trị đơn và khu vực, hoặc miễn phí nếu đạt ngưỡng.</t>
  </si>
  <si>
    <t>subTotalAmt: 500000
city: HCM
district: D1</t>
  </si>
  <si>
    <t>Kiểm tra tính phí giao hàng</t>
  </si>
  <si>
    <t>TEST REPORT</t>
  </si>
  <si>
    <t>Project Name</t>
  </si>
  <si>
    <t>Grocery Store</t>
  </si>
  <si>
    <t>Creator</t>
  </si>
  <si>
    <t>Trần Hảo Điền + Ngô Tuấn Anh + Lê Ngọc Hiệp + Nguyễn Phương Vinh</t>
  </si>
  <si>
    <t>Project Code</t>
  </si>
  <si>
    <t>Reviewer/Approver</t>
  </si>
  <si>
    <t>Document Code</t>
  </si>
  <si>
    <t>Issue Date</t>
  </si>
  <si>
    <t>30/11/2025</t>
  </si>
  <si>
    <t>Notes</t>
  </si>
  <si>
    <t>No</t>
  </si>
  <si>
    <t>Module code</t>
  </si>
  <si>
    <t>Number of  test cases</t>
  </si>
  <si>
    <t>Thanh toán</t>
  </si>
  <si>
    <t>Sub total</t>
  </si>
  <si>
    <t>Test coverage</t>
  </si>
  <si>
    <t>%</t>
  </si>
  <si>
    <t>Test successful coverage</t>
  </si>
  <si>
    <t>Expected Output (đã viết lại tự nhiên)</t>
  </si>
  <si>
    <t>TC-PAYMENT-001</t>
  </si>
  <si>
    <t>Tạo URL thanh toán VNPay thành công</t>
  </si>
  <si>
    <t>1. Nhập thông tin đơn hàng
2. Hệ thống tạo mã giao dịch
3. Tạo tham số VNPay đúng định dạng
4. Ký tham số bằng HMAC SHA512
5. Tạo URL thanh toán
6. Trả URL cho client</t>
  </si>
  <si>
    <t>Hệ thống tạo URL thanh toán thành công, số tiền được nhân 100 đúng chuẩn VNPay, chữ ký bảo mật được tạo chính xác và trả về URL hợp lệ.</t>
  </si>
  <si>
    <t>userId: user123amount: 200000</t>
  </si>
  <si>
    <t>Kiểm tra luồng tạo URL VNPay</t>
  </si>
  <si>
    <t>TC-PAYMENT-002</t>
  </si>
  <si>
    <t>Callback VNPay sai chữ ký</t>
  </si>
  <si>
    <t>1. Nhận callback có chữ ký sai
2. Hệ thống tự tính lại chữ ký
3. Chữ ký không trùng khớp
4. Từ chối xử lý</t>
  </si>
  <si>
    <t>Hệ thống từ chối callback do sai chữ ký, không tạo đơn hàng và không ghi nhận thanh toán.</t>
  </si>
  <si>
    <t>vnp_SecureHash: invalid</t>
  </si>
  <si>
    <t>Kiểm tra tính toàn vẹn chữ ký</t>
  </si>
  <si>
    <t>TC-PAYMENT-003</t>
  </si>
  <si>
    <t>Thanh toán VNPay thành công</t>
  </si>
  <si>
    <t>1. Nhận callback hợp lệ
2. Chữ ký đúng
3. Mã phản hồi = “00”
4. Tạo đơn hàng và lưu thông tin thanh toán
5. Trừ tồn kho
6. Xóa giỏ hàng người dùng</t>
  </si>
  <si>
    <t>Hệ thống xác nhận thanh toán thành công, tạo đơn hàng mới, ghi nhận giao dịch, cập nhật tồn kho và xóa giỏ hàng.</t>
  </si>
  <si>
    <t>vnp_ResponseCode: 00transactionNo: 14123456</t>
  </si>
  <si>
    <t>Kiểm tra xử lý thanh toán thành công</t>
  </si>
  <si>
    <t>TC-PAYMENT-004</t>
  </si>
  <si>
    <t>Thanh toán VNPay thất bại</t>
  </si>
  <si>
    <t>1. Nhận callback có mã lỗi
2. Xác minh chữ ký hợp lệ
3. Mã phản hồi ≠ “00”
4. Trả thông báo lỗi tương ứng</t>
  </si>
  <si>
    <t>Hệ thống thông báo giao dịch thất bại theo mã lỗi, không tạo đơn hàng và không trừ tồn kho.</t>
  </si>
  <si>
    <t>vnp_ResponseCode: 24</t>
  </si>
  <si>
    <t>Kiểm tra xử lý khi thanh toán thất bại</t>
  </si>
  <si>
    <t>TC-PAYMENT-005</t>
  </si>
  <si>
    <t>Callback thiếu tham số bắt buộc</t>
  </si>
  <si>
    <t>1. Callback thiếu fields quan trọng
2. Hệ thống kiểm tra tham số
3. Phát hiện thiếu
4. Từ chối xử lý</t>
  </si>
  <si>
    <t>Hệ thống thông báo thiếu tham số cần thiết và không xử lý thanh toán.</t>
  </si>
  <si>
    <t>thiếu: vnp_ResponseCode, vnp_SecureHash</t>
  </si>
  <si>
    <t>Kiểm tra validate tham số callback</t>
  </si>
  <si>
    <t>TC-PAYMENT-006</t>
  </si>
  <si>
    <t>Giao dịch VNPay hết hạn</t>
  </si>
  <si>
    <t>1. Tạo URL có thời gian hết hạn
2. Callback đến sau thời hạn
3. Hệ thống kiểm tra timestamp
4. Từ chối giao dịch</t>
  </si>
  <si>
    <t>Hệ thống thông báo giao dịch đã hết hạn, không tạo đơn hàng và ghi log timeout.</t>
  </si>
  <si>
    <t>currentTime &gt; vnp_ExpireDate</t>
  </si>
  <si>
    <t>Kiểm tra timeout giao dịch</t>
  </si>
  <si>
    <t>TC-PAYMENT-007</t>
  </si>
  <si>
    <t>VNPay gửi lại giao dịch trùng</t>
  </si>
  <si>
    <t>1. Giao dịch đã được xử lý
2. Nhận callback lần nữa
3. Kiểm tra transactionId đã tồn tại
4. Từ chối giao dịch trùng</t>
  </si>
  <si>
    <t>Hệ thống phát hiện giao dịch trùng và không tạo đơn hàng mới, dữ liệu đơn hàng cũ giữ nguyên.</t>
  </si>
  <si>
    <t>existingOrder: PAID</t>
  </si>
  <si>
    <t>Kiểm tra xử lý giao dịch lặp</t>
  </si>
</sst>
</file>

<file path=xl/styles.xml><?xml version="1.0" encoding="utf-8"?>
<styleSheet xmlns="http://schemas.openxmlformats.org/spreadsheetml/2006/main" xmlns:x14ac="http://schemas.microsoft.com/office/spreadsheetml/2009/9/ac" xmlns:mc="http://schemas.openxmlformats.org/markup-compatibility/2006">
  <fonts count="15">
    <font>
      <sz val="11.0"/>
      <color theme="1"/>
      <name val="Aptos Narrow"/>
      <scheme val="minor"/>
    </font>
    <font>
      <b/>
      <sz val="10.0"/>
      <color theme="1"/>
      <name val="Tahoma"/>
    </font>
    <font>
      <i/>
      <sz val="10.0"/>
      <color rgb="FF008000"/>
      <name val="Tahoma"/>
    </font>
    <font/>
    <font>
      <b/>
      <sz val="10.0"/>
      <color rgb="FF000000"/>
      <name val="Tahoma"/>
    </font>
    <font>
      <sz val="10.0"/>
      <color rgb="FF000000"/>
      <name val="Tahoma"/>
    </font>
    <font>
      <b/>
      <sz val="11.0"/>
      <color theme="1"/>
      <name val="Aptos Narrow"/>
    </font>
    <font>
      <sz val="11.0"/>
      <color theme="1"/>
      <name val="Aptos Narrow"/>
    </font>
    <font>
      <u/>
      <sz val="11.0"/>
      <color theme="10"/>
      <name val="Aptos Narrow"/>
    </font>
    <font>
      <b/>
      <sz val="20.0"/>
      <color rgb="FF000000"/>
      <name val="Tahoma"/>
    </font>
    <font>
      <sz val="10.0"/>
      <color theme="1"/>
      <name val="Tahoma"/>
    </font>
    <font>
      <b/>
      <sz val="10.0"/>
      <color rgb="FF993300"/>
      <name val="Tahoma"/>
    </font>
    <font>
      <b/>
      <sz val="10.0"/>
      <color rgb="FFFFFFFF"/>
      <name val="Tahoma"/>
    </font>
    <font>
      <sz val="10.0"/>
      <color rgb="FFFFFFFF"/>
      <name val="Tahoma"/>
    </font>
    <font>
      <b/>
      <sz val="10.0"/>
      <color rgb="FF0000FF"/>
      <name val="Tahoma"/>
    </font>
  </fonts>
  <fills count="4">
    <fill>
      <patternFill patternType="none"/>
    </fill>
    <fill>
      <patternFill patternType="lightGray"/>
    </fill>
    <fill>
      <patternFill patternType="solid">
        <fgColor rgb="FFFFFFFF"/>
        <bgColor rgb="FFFFFFFF"/>
      </patternFill>
    </fill>
    <fill>
      <patternFill patternType="solid">
        <fgColor rgb="FF000080"/>
        <bgColor rgb="FF000080"/>
      </patternFill>
    </fill>
  </fills>
  <borders count="31">
    <border/>
    <border>
      <left style="medium">
        <color rgb="FF000000"/>
      </left>
      <right style="thin">
        <color rgb="FF000000"/>
      </right>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top/>
      <bottom style="thin">
        <color rgb="FF000000"/>
      </bottom>
    </border>
    <border>
      <top/>
      <bottom style="thin">
        <color rgb="FF000000"/>
      </bottom>
    </border>
    <border>
      <right style="medium">
        <color rgb="FF000000"/>
      </right>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right style="thin">
        <color rgb="FF000000"/>
      </right>
      <top style="thin">
        <color rgb="FF000000"/>
      </top>
      <bottom style="medium">
        <color rgb="FF000000"/>
      </bottom>
    </border>
    <border>
      <left style="thin">
        <color rgb="FF000000"/>
      </left>
      <top style="thin">
        <color rgb="FF000000"/>
      </top>
      <bottom style="medium">
        <color rgb="FF000000"/>
      </bottom>
    </border>
    <border>
      <right style="medium">
        <color rgb="FF000000"/>
      </right>
      <top style="thin">
        <color rgb="FF000000"/>
      </top>
      <bottom style="medium">
        <color rgb="FF000000"/>
      </bottom>
    </border>
    <border>
      <left/>
      <top/>
      <bottom/>
    </border>
    <border>
      <top/>
      <bottom/>
    </border>
    <border>
      <right/>
      <top/>
      <bottom/>
    </border>
    <border>
      <left/>
      <right/>
      <top/>
      <bottom/>
    </border>
    <border>
      <right style="thin">
        <color rgb="FF000000"/>
      </right>
      <top style="thin">
        <color rgb="FF000000"/>
      </top>
      <bottom style="thin">
        <color rgb="FF000000"/>
      </bottom>
    </border>
    <border>
      <left/>
      <top style="thin">
        <color rgb="FF000000"/>
      </top>
      <bottom style="thin">
        <color rgb="FF000000"/>
      </bottom>
    </border>
    <border>
      <left/>
      <right style="hair">
        <color rgb="FF000000"/>
      </right>
      <top style="thin">
        <color rgb="FF000000"/>
      </top>
      <bottom style="hair">
        <color rgb="FF000000"/>
      </bottom>
    </border>
    <border>
      <left style="hair">
        <color rgb="FF000000"/>
      </left>
      <right style="hair">
        <color rgb="FF000000"/>
      </right>
      <top style="thin">
        <color rgb="FF000000"/>
      </top>
      <bottom style="hair">
        <color rgb="FF000000"/>
      </bottom>
    </border>
    <border>
      <left style="hair">
        <color rgb="FF000000"/>
      </left>
      <right/>
      <top style="thin">
        <color rgb="FF000000"/>
      </top>
      <bottom style="hair">
        <color rgb="FF000000"/>
      </bottom>
    </border>
    <border>
      <left style="hair">
        <color rgb="FF000000"/>
      </left>
      <right style="medium">
        <color rgb="FF000000"/>
      </right>
      <top style="thin">
        <color rgb="FF000000"/>
      </top>
      <bottom style="hair">
        <color rgb="FF000000"/>
      </bottom>
    </border>
    <border>
      <left/>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right style="hair">
        <color rgb="FF000000"/>
      </right>
      <top style="hair">
        <color rgb="FF000000"/>
      </top>
      <bottom style="thin">
        <color rgb="FF000000"/>
      </bottom>
    </border>
    <border>
      <left style="hair">
        <color rgb="FF000000"/>
      </left>
      <right style="hair">
        <color rgb="FF000000"/>
      </right>
      <top style="hair">
        <color rgb="FF000000"/>
      </top>
      <bottom style="thin">
        <color rgb="FF000000"/>
      </bottom>
    </border>
    <border>
      <left style="hair">
        <color rgb="FF000000"/>
      </left>
      <right style="medium">
        <color rgb="FF000000"/>
      </right>
      <top style="hair">
        <color rgb="FF000000"/>
      </top>
      <bottom style="thin">
        <color rgb="FF000000"/>
      </bottom>
    </border>
  </borders>
  <cellStyleXfs count="1">
    <xf borderId="0" fillId="0" fontId="0" numFmtId="0" applyAlignment="1" applyFont="1"/>
  </cellStyleXfs>
  <cellXfs count="62">
    <xf borderId="0" fillId="0" fontId="0" numFmtId="0" xfId="0" applyAlignment="1" applyFont="1">
      <alignment readingOrder="0" shrinkToFit="0" vertical="bottom" wrapText="0"/>
    </xf>
    <xf borderId="1" fillId="2" fontId="1" numFmtId="0" xfId="0" applyAlignment="1" applyBorder="1" applyFill="1" applyFont="1">
      <alignment horizontal="left" shrinkToFit="0" wrapText="1"/>
    </xf>
    <xf borderId="2" fillId="2" fontId="2" numFmtId="0" xfId="0" applyAlignment="1" applyBorder="1" applyFont="1">
      <alignment horizontal="left" shrinkToFit="0" wrapText="1"/>
    </xf>
    <xf borderId="3" fillId="0" fontId="3" numFmtId="0" xfId="0" applyBorder="1" applyFont="1"/>
    <xf borderId="4" fillId="0" fontId="3" numFmtId="0" xfId="0" applyBorder="1" applyFont="1"/>
    <xf borderId="5" fillId="2" fontId="1" numFmtId="0" xfId="0" applyAlignment="1" applyBorder="1" applyFont="1">
      <alignment horizontal="left" shrinkToFit="0" wrapText="1"/>
    </xf>
    <xf borderId="6" fillId="2" fontId="2" numFmtId="0" xfId="0" applyAlignment="1" applyBorder="1" applyFont="1">
      <alignment horizontal="left" shrinkToFit="0" wrapText="1"/>
    </xf>
    <xf borderId="7" fillId="0" fontId="3" numFmtId="0" xfId="0" applyBorder="1" applyFont="1"/>
    <xf borderId="8" fillId="0" fontId="3" numFmtId="0" xfId="0" applyBorder="1" applyFont="1"/>
    <xf borderId="5" fillId="2" fontId="4" numFmtId="0" xfId="0" applyAlignment="1" applyBorder="1" applyFont="1">
      <alignment horizontal="center" vertical="center"/>
    </xf>
    <xf borderId="9" fillId="2" fontId="4" numFmtId="0" xfId="0" applyAlignment="1" applyBorder="1" applyFont="1">
      <alignment horizontal="center" shrinkToFit="0" vertical="center" wrapText="1"/>
    </xf>
    <xf borderId="10" fillId="2" fontId="4" numFmtId="0" xfId="0" applyAlignment="1" applyBorder="1" applyFont="1">
      <alignment horizontal="center" shrinkToFit="0" vertical="center" wrapText="1"/>
    </xf>
    <xf borderId="2" fillId="2" fontId="4" numFmtId="0" xfId="0" applyAlignment="1" applyBorder="1" applyFont="1">
      <alignment horizontal="center" shrinkToFit="0" vertical="center" wrapText="1"/>
    </xf>
    <xf borderId="11" fillId="2" fontId="5" numFmtId="0" xfId="0" applyAlignment="1" applyBorder="1" applyFont="1">
      <alignment horizontal="center" vertical="center"/>
    </xf>
    <xf borderId="12" fillId="2" fontId="5" numFmtId="0" xfId="0" applyAlignment="1" applyBorder="1" applyFont="1">
      <alignment horizontal="center" vertical="center"/>
    </xf>
    <xf borderId="13" fillId="2" fontId="5" numFmtId="0" xfId="0" applyAlignment="1" applyBorder="1" applyFont="1">
      <alignment horizontal="center" vertical="center"/>
    </xf>
    <xf borderId="14" fillId="2" fontId="5" numFmtId="0" xfId="0" applyAlignment="1" applyBorder="1" applyFont="1">
      <alignment horizontal="center" shrinkToFit="0" vertical="center" wrapText="1"/>
    </xf>
    <xf borderId="15" fillId="0" fontId="3" numFmtId="0" xfId="0" applyBorder="1" applyFont="1"/>
    <xf borderId="9" fillId="0" fontId="6" numFmtId="0" xfId="0" applyAlignment="1" applyBorder="1" applyFont="1">
      <alignment horizontal="center" shrinkToFit="0" vertical="center" wrapText="1"/>
    </xf>
    <xf borderId="9" fillId="0" fontId="6" numFmtId="0" xfId="0" applyAlignment="1" applyBorder="1" applyFont="1">
      <alignment shrinkToFit="0" vertical="center" wrapText="1"/>
    </xf>
    <xf borderId="9" fillId="0" fontId="7" numFmtId="0" xfId="0" applyAlignment="1" applyBorder="1" applyFont="1">
      <alignment shrinkToFit="0" vertical="center" wrapText="1"/>
    </xf>
    <xf borderId="9" fillId="0" fontId="7" numFmtId="14" xfId="0" applyAlignment="1" applyBorder="1" applyFont="1" applyNumberFormat="1">
      <alignment shrinkToFit="0" vertical="center" wrapText="1"/>
    </xf>
    <xf borderId="9" fillId="0" fontId="8" numFmtId="0" xfId="0" applyAlignment="1" applyBorder="1" applyFont="1">
      <alignment shrinkToFit="0" vertical="center" wrapText="1"/>
    </xf>
    <xf borderId="0" fillId="0" fontId="6" numFmtId="0" xfId="0" applyAlignment="1" applyFont="1">
      <alignment shrinkToFit="0" vertical="center" wrapText="1"/>
    </xf>
    <xf borderId="0" fillId="0" fontId="7" numFmtId="0" xfId="0" applyAlignment="1" applyFont="1">
      <alignment shrinkToFit="0" vertical="center" wrapText="1"/>
    </xf>
    <xf borderId="0" fillId="0" fontId="7" numFmtId="14" xfId="0" applyAlignment="1" applyFont="1" applyNumberFormat="1">
      <alignment shrinkToFit="0" vertical="center" wrapText="1"/>
    </xf>
    <xf borderId="16" fillId="2" fontId="9" numFmtId="0" xfId="0" applyAlignment="1" applyBorder="1" applyFont="1">
      <alignment horizontal="center"/>
    </xf>
    <xf borderId="17" fillId="0" fontId="3" numFmtId="0" xfId="0" applyBorder="1" applyFont="1"/>
    <xf borderId="18" fillId="0" fontId="3" numFmtId="0" xfId="0" applyBorder="1" applyFont="1"/>
    <xf borderId="19" fillId="2" fontId="1" numFmtId="0" xfId="0" applyBorder="1" applyFont="1"/>
    <xf borderId="19" fillId="2" fontId="10" numFmtId="0" xfId="0" applyBorder="1" applyFont="1"/>
    <xf borderId="19" fillId="2" fontId="10" numFmtId="15" xfId="0" applyBorder="1" applyFont="1" applyNumberFormat="1"/>
    <xf borderId="9" fillId="2" fontId="11" numFmtId="0" xfId="0" applyAlignment="1" applyBorder="1" applyFont="1">
      <alignment horizontal="left" vertical="center"/>
    </xf>
    <xf borderId="2" fillId="2" fontId="2" numFmtId="0" xfId="0" applyAlignment="1" applyBorder="1" applyFont="1">
      <alignment horizontal="left"/>
    </xf>
    <xf borderId="20" fillId="0" fontId="3" numFmtId="0" xfId="0" applyBorder="1" applyFont="1"/>
    <xf borderId="2" fillId="2" fontId="11" numFmtId="0" xfId="0" applyAlignment="1" applyBorder="1" applyFont="1">
      <alignment horizontal="left"/>
    </xf>
    <xf borderId="21" fillId="2" fontId="11" numFmtId="0" xfId="0" applyAlignment="1" applyBorder="1" applyFont="1">
      <alignment horizontal="center" readingOrder="0"/>
    </xf>
    <xf borderId="21" fillId="2" fontId="11" numFmtId="0" xfId="0" applyAlignment="1" applyBorder="1" applyFont="1">
      <alignment horizontal="center"/>
    </xf>
    <xf borderId="9" fillId="2" fontId="11" numFmtId="0" xfId="0" applyAlignment="1" applyBorder="1" applyFont="1">
      <alignment vertical="center"/>
    </xf>
    <xf borderId="21" fillId="2" fontId="2" numFmtId="0" xfId="0" applyAlignment="1" applyBorder="1" applyFont="1">
      <alignment horizontal="center" vertical="top"/>
    </xf>
    <xf borderId="2" fillId="2" fontId="2" numFmtId="0" xfId="0" applyAlignment="1" applyBorder="1" applyFont="1">
      <alignment vertical="top"/>
    </xf>
    <xf borderId="19" fillId="2" fontId="11" numFmtId="0" xfId="0" applyBorder="1" applyFont="1"/>
    <xf borderId="19" fillId="2" fontId="2" numFmtId="0" xfId="0" applyBorder="1" applyFont="1"/>
    <xf borderId="22" fillId="3" fontId="12" numFmtId="0" xfId="0" applyAlignment="1" applyBorder="1" applyFill="1" applyFont="1">
      <alignment horizontal="center"/>
    </xf>
    <xf borderId="23" fillId="3" fontId="12" numFmtId="0" xfId="0" applyAlignment="1" applyBorder="1" applyFont="1">
      <alignment horizontal="center"/>
    </xf>
    <xf borderId="23" fillId="3" fontId="12" numFmtId="0" xfId="0" applyAlignment="1" applyBorder="1" applyFont="1">
      <alignment horizontal="center" shrinkToFit="0" wrapText="1"/>
    </xf>
    <xf borderId="24" fillId="3" fontId="12" numFmtId="0" xfId="0" applyAlignment="1" applyBorder="1" applyFont="1">
      <alignment horizontal="center"/>
    </xf>
    <xf borderId="25" fillId="3" fontId="12" numFmtId="0" xfId="0" applyAlignment="1" applyBorder="1" applyFont="1">
      <alignment horizontal="center" shrinkToFit="0" wrapText="1"/>
    </xf>
    <xf borderId="26" fillId="2" fontId="10" numFmtId="0" xfId="0" applyAlignment="1" applyBorder="1" applyFont="1">
      <alignment horizontal="center"/>
    </xf>
    <xf borderId="27" fillId="2" fontId="10" numFmtId="0" xfId="0" applyBorder="1" applyFont="1"/>
    <xf borderId="27" fillId="2" fontId="10" numFmtId="0" xfId="0" applyAlignment="1" applyBorder="1" applyFont="1">
      <alignment horizontal="center"/>
    </xf>
    <xf borderId="28" fillId="3" fontId="13" numFmtId="0" xfId="0" applyAlignment="1" applyBorder="1" applyFont="1">
      <alignment horizontal="center"/>
    </xf>
    <xf borderId="29" fillId="3" fontId="12" numFmtId="0" xfId="0" applyBorder="1" applyFont="1"/>
    <xf borderId="29" fillId="3" fontId="13" numFmtId="0" xfId="0" applyAlignment="1" applyBorder="1" applyFont="1">
      <alignment horizontal="center"/>
    </xf>
    <xf borderId="30" fillId="3" fontId="13" numFmtId="0" xfId="0" applyAlignment="1" applyBorder="1" applyFont="1">
      <alignment horizontal="center"/>
    </xf>
    <xf borderId="19" fillId="2" fontId="10" numFmtId="0" xfId="0" applyAlignment="1" applyBorder="1" applyFont="1">
      <alignment horizontal="center"/>
    </xf>
    <xf borderId="19" fillId="2" fontId="10" numFmtId="10" xfId="0" applyAlignment="1" applyBorder="1" applyFont="1" applyNumberFormat="1">
      <alignment horizontal="center"/>
    </xf>
    <xf borderId="19" fillId="2" fontId="10" numFmtId="9" xfId="0" applyAlignment="1" applyBorder="1" applyFont="1" applyNumberFormat="1">
      <alignment horizontal="center"/>
    </xf>
    <xf borderId="19" fillId="2" fontId="11" numFmtId="0" xfId="0" applyAlignment="1" applyBorder="1" applyFont="1">
      <alignment horizontal="left"/>
    </xf>
    <xf borderId="19" fillId="2" fontId="14" numFmtId="2" xfId="0" applyAlignment="1" applyBorder="1" applyFont="1" applyNumberFormat="1">
      <alignment horizontal="right" readingOrder="0" shrinkToFit="0" wrapText="1"/>
    </xf>
    <xf borderId="19" fillId="2" fontId="5" numFmtId="0" xfId="0" applyAlignment="1" applyBorder="1" applyFont="1">
      <alignment horizontal="center" shrinkToFit="0" wrapText="1"/>
    </xf>
    <xf borderId="19" fillId="2" fontId="14" numFmtId="2" xfId="0" applyAlignment="1" applyBorder="1" applyFont="1" applyNumberFormat="1">
      <alignment horizontal="righ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notregistered@test.com" TargetMode="External"/><Relationship Id="rId2" Type="http://schemas.openxmlformats.org/officeDocument/2006/relationships/hyperlink" Target="mailto:pending@test.com" TargetMode="External"/><Relationship Id="rId3" Type="http://schemas.openxmlformats.org/officeDocument/2006/relationships/hyperlink" Target="mailto:user@test.com" TargetMode="External"/><Relationship Id="rId4" Type="http://schemas.openxmlformats.org/officeDocument/2006/relationships/hyperlink" Target="mailto:validuser@test.com"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18.13"/>
    <col customWidth="1" min="3" max="3" width="20.63"/>
    <col customWidth="1" min="4" max="4" width="25.88"/>
    <col customWidth="1" min="5" max="5" width="26.13"/>
    <col customWidth="1" min="6" max="6" width="22.5"/>
    <col customWidth="1" min="7" max="7" width="25.13"/>
    <col customWidth="1" min="8" max="8" width="23.5"/>
    <col customWidth="1" min="9" max="26" width="8.63"/>
  </cols>
  <sheetData>
    <row r="1" ht="14.25" customHeight="1">
      <c r="A1" s="1" t="s">
        <v>0</v>
      </c>
      <c r="B1" s="2" t="s">
        <v>1</v>
      </c>
      <c r="C1" s="3"/>
      <c r="D1" s="3"/>
      <c r="E1" s="3"/>
      <c r="F1" s="4"/>
    </row>
    <row r="2" ht="14.25" customHeight="1">
      <c r="A2" s="5" t="s">
        <v>2</v>
      </c>
      <c r="B2" s="2"/>
      <c r="C2" s="3"/>
      <c r="D2" s="3"/>
      <c r="E2" s="3"/>
      <c r="F2" s="4"/>
    </row>
    <row r="3" ht="14.25" customHeight="1">
      <c r="A3" s="1" t="s">
        <v>3</v>
      </c>
      <c r="B3" s="6"/>
      <c r="C3" s="7"/>
      <c r="D3" s="7"/>
      <c r="E3" s="7"/>
      <c r="F3" s="8"/>
    </row>
    <row r="4" ht="14.25" customHeight="1">
      <c r="A4" s="9" t="s">
        <v>4</v>
      </c>
      <c r="B4" s="10" t="s">
        <v>5</v>
      </c>
      <c r="C4" s="10" t="s">
        <v>6</v>
      </c>
      <c r="D4" s="11" t="s">
        <v>7</v>
      </c>
      <c r="E4" s="12" t="s">
        <v>8</v>
      </c>
      <c r="F4" s="4"/>
    </row>
    <row r="5" ht="14.25" customHeight="1">
      <c r="A5" s="13">
        <f>COUNTIF(F7:F1001,"Pass")</f>
        <v>6</v>
      </c>
      <c r="B5" s="14">
        <f>COUNTIF(F7:F1001,"Fail")</f>
        <v>0</v>
      </c>
      <c r="C5" s="14">
        <f>E5-D5-B5-A5</f>
        <v>0</v>
      </c>
      <c r="D5" s="15">
        <f>COUNTIF(F$8:F$1002,"N/A")</f>
        <v>0</v>
      </c>
      <c r="E5" s="16">
        <f>COUNTA(A8:A1001)</f>
        <v>6</v>
      </c>
      <c r="F5" s="17"/>
    </row>
    <row r="6" ht="14.25" customHeight="1"/>
    <row r="7" ht="14.25" customHeight="1">
      <c r="A7" s="18" t="s">
        <v>9</v>
      </c>
      <c r="B7" s="18" t="s">
        <v>10</v>
      </c>
      <c r="C7" s="18" t="s">
        <v>11</v>
      </c>
      <c r="D7" s="18" t="s">
        <v>12</v>
      </c>
      <c r="E7" s="18" t="s">
        <v>13</v>
      </c>
      <c r="F7" s="18" t="s">
        <v>14</v>
      </c>
      <c r="G7" s="18" t="s">
        <v>15</v>
      </c>
      <c r="H7" s="18" t="s">
        <v>16</v>
      </c>
    </row>
    <row r="8" ht="14.25" customHeight="1">
      <c r="A8" s="19" t="s">
        <v>17</v>
      </c>
      <c r="B8" s="20" t="s">
        <v>18</v>
      </c>
      <c r="C8" s="20" t="s">
        <v>19</v>
      </c>
      <c r="D8" s="20" t="s">
        <v>20</v>
      </c>
      <c r="E8" s="20" t="s">
        <v>21</v>
      </c>
      <c r="F8" s="20" t="s">
        <v>4</v>
      </c>
      <c r="G8" s="21">
        <v>46001.0</v>
      </c>
      <c r="H8" s="20" t="s">
        <v>22</v>
      </c>
    </row>
    <row r="9" ht="14.25" customHeight="1">
      <c r="A9" s="19" t="s">
        <v>23</v>
      </c>
      <c r="B9" s="20" t="s">
        <v>24</v>
      </c>
      <c r="C9" s="20" t="s">
        <v>25</v>
      </c>
      <c r="D9" s="20" t="s">
        <v>26</v>
      </c>
      <c r="E9" s="22" t="s">
        <v>27</v>
      </c>
      <c r="F9" s="20" t="s">
        <v>4</v>
      </c>
      <c r="G9" s="21">
        <v>46001.0</v>
      </c>
      <c r="H9" s="20" t="s">
        <v>28</v>
      </c>
    </row>
    <row r="10" ht="14.25" customHeight="1">
      <c r="A10" s="19" t="s">
        <v>29</v>
      </c>
      <c r="B10" s="20" t="s">
        <v>30</v>
      </c>
      <c r="C10" s="20" t="s">
        <v>31</v>
      </c>
      <c r="D10" s="20" t="s">
        <v>32</v>
      </c>
      <c r="E10" s="22" t="s">
        <v>33</v>
      </c>
      <c r="F10" s="20" t="s">
        <v>4</v>
      </c>
      <c r="G10" s="21">
        <v>46001.0</v>
      </c>
      <c r="H10" s="20" t="s">
        <v>34</v>
      </c>
    </row>
    <row r="11" ht="14.25" customHeight="1">
      <c r="A11" s="19" t="s">
        <v>35</v>
      </c>
      <c r="B11" s="20" t="s">
        <v>36</v>
      </c>
      <c r="C11" s="20" t="s">
        <v>37</v>
      </c>
      <c r="D11" s="20" t="s">
        <v>38</v>
      </c>
      <c r="E11" s="22" t="s">
        <v>39</v>
      </c>
      <c r="F11" s="20" t="s">
        <v>4</v>
      </c>
      <c r="G11" s="21">
        <v>46001.0</v>
      </c>
      <c r="H11" s="20" t="s">
        <v>40</v>
      </c>
    </row>
    <row r="12" ht="14.25" customHeight="1">
      <c r="A12" s="19" t="s">
        <v>41</v>
      </c>
      <c r="B12" s="20" t="s">
        <v>42</v>
      </c>
      <c r="C12" s="20" t="s">
        <v>43</v>
      </c>
      <c r="D12" s="20" t="s">
        <v>44</v>
      </c>
      <c r="E12" s="22" t="s">
        <v>45</v>
      </c>
      <c r="F12" s="20" t="s">
        <v>4</v>
      </c>
      <c r="G12" s="21">
        <v>46001.0</v>
      </c>
      <c r="H12" s="20" t="s">
        <v>46</v>
      </c>
    </row>
    <row r="13" ht="14.25" customHeight="1">
      <c r="A13" s="19" t="s">
        <v>47</v>
      </c>
      <c r="B13" s="20" t="s">
        <v>48</v>
      </c>
      <c r="C13" s="20" t="s">
        <v>49</v>
      </c>
      <c r="D13" s="20" t="s">
        <v>50</v>
      </c>
      <c r="E13" s="20" t="s">
        <v>51</v>
      </c>
      <c r="F13" s="20" t="s">
        <v>4</v>
      </c>
      <c r="G13" s="21">
        <v>46001.0</v>
      </c>
      <c r="H13" s="20" t="s">
        <v>52</v>
      </c>
    </row>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B1:F1"/>
    <mergeCell ref="B2:F2"/>
    <mergeCell ref="B3:F3"/>
    <mergeCell ref="E4:F4"/>
    <mergeCell ref="E5:F5"/>
  </mergeCells>
  <hyperlinks>
    <hyperlink r:id="rId1" ref="E9"/>
    <hyperlink r:id="rId2" ref="E10"/>
    <hyperlink r:id="rId3" ref="E11"/>
    <hyperlink r:id="rId4" ref="E12"/>
  </hyperlinks>
  <printOptions/>
  <pageMargins bottom="0.75" footer="0.0" header="0.0" left="0.7" right="0.7" top="0.75"/>
  <pageSetup orientation="landscape"/>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6.5"/>
    <col customWidth="1" min="2" max="3" width="19.0"/>
    <col customWidth="1" min="4" max="4" width="19.5"/>
    <col customWidth="1" min="5" max="5" width="14.88"/>
    <col customWidth="1" min="6" max="6" width="8.63"/>
    <col customWidth="1" min="7" max="7" width="10.38"/>
    <col customWidth="1" min="8" max="8" width="13.25"/>
    <col customWidth="1" min="9" max="26" width="8.63"/>
  </cols>
  <sheetData>
    <row r="1" ht="14.25" customHeight="1">
      <c r="A1" s="1" t="s">
        <v>0</v>
      </c>
      <c r="B1" s="2" t="s">
        <v>53</v>
      </c>
      <c r="C1" s="3"/>
      <c r="D1" s="3"/>
      <c r="E1" s="3"/>
      <c r="F1" s="4"/>
    </row>
    <row r="2" ht="14.25" customHeight="1">
      <c r="A2" s="5" t="s">
        <v>2</v>
      </c>
      <c r="B2" s="2"/>
      <c r="C2" s="3"/>
      <c r="D2" s="3"/>
      <c r="E2" s="3"/>
      <c r="F2" s="4"/>
    </row>
    <row r="3" ht="14.25" customHeight="1">
      <c r="A3" s="1" t="s">
        <v>3</v>
      </c>
      <c r="B3" s="6"/>
      <c r="C3" s="7"/>
      <c r="D3" s="7"/>
      <c r="E3" s="7"/>
      <c r="F3" s="8"/>
    </row>
    <row r="4" ht="14.25" customHeight="1">
      <c r="A4" s="9" t="s">
        <v>4</v>
      </c>
      <c r="B4" s="10" t="s">
        <v>5</v>
      </c>
      <c r="C4" s="10" t="s">
        <v>6</v>
      </c>
      <c r="D4" s="11" t="s">
        <v>7</v>
      </c>
      <c r="E4" s="12" t="s">
        <v>8</v>
      </c>
      <c r="F4" s="4"/>
    </row>
    <row r="5" ht="14.25" customHeight="1">
      <c r="A5" s="13">
        <f>COUNTIF(F7:F1001,"Pass")</f>
        <v>9</v>
      </c>
      <c r="B5" s="14">
        <f>COUNTIF(F7:F1001,"Fail")</f>
        <v>0</v>
      </c>
      <c r="C5" s="14">
        <f>E5-D5-B5-A5</f>
        <v>0</v>
      </c>
      <c r="D5" s="15">
        <f>COUNTIF(F$8:F$1002,"N/A")</f>
        <v>0</v>
      </c>
      <c r="E5" s="16">
        <f>COUNTA(A8:A1001)</f>
        <v>9</v>
      </c>
      <c r="F5" s="17"/>
    </row>
    <row r="6" ht="14.25" customHeight="1"/>
    <row r="7" ht="14.25" customHeight="1">
      <c r="A7" s="18" t="s">
        <v>9</v>
      </c>
      <c r="B7" s="18" t="s">
        <v>10</v>
      </c>
      <c r="C7" s="18" t="s">
        <v>11</v>
      </c>
      <c r="D7" s="18" t="s">
        <v>54</v>
      </c>
      <c r="E7" s="18" t="s">
        <v>13</v>
      </c>
      <c r="F7" s="18" t="s">
        <v>14</v>
      </c>
      <c r="G7" s="18" t="s">
        <v>15</v>
      </c>
      <c r="H7" s="18" t="s">
        <v>16</v>
      </c>
    </row>
    <row r="8" ht="14.25" customHeight="1">
      <c r="A8" s="19" t="s">
        <v>55</v>
      </c>
      <c r="B8" s="20" t="s">
        <v>56</v>
      </c>
      <c r="C8" s="20" t="s">
        <v>57</v>
      </c>
      <c r="D8" s="20" t="s">
        <v>58</v>
      </c>
      <c r="E8" s="20" t="s">
        <v>59</v>
      </c>
      <c r="F8" s="20" t="s">
        <v>60</v>
      </c>
      <c r="G8" s="21">
        <v>46001.0</v>
      </c>
      <c r="H8" s="20" t="s">
        <v>61</v>
      </c>
    </row>
    <row r="9" ht="14.25" customHeight="1">
      <c r="A9" s="19" t="s">
        <v>62</v>
      </c>
      <c r="B9" s="20" t="s">
        <v>63</v>
      </c>
      <c r="C9" s="20" t="s">
        <v>64</v>
      </c>
      <c r="D9" s="20" t="s">
        <v>65</v>
      </c>
      <c r="E9" s="20" t="s">
        <v>66</v>
      </c>
      <c r="F9" s="20" t="s">
        <v>60</v>
      </c>
      <c r="G9" s="21">
        <v>46001.0</v>
      </c>
      <c r="H9" s="20" t="s">
        <v>67</v>
      </c>
    </row>
    <row r="10" ht="14.25" customHeight="1">
      <c r="A10" s="19" t="s">
        <v>68</v>
      </c>
      <c r="B10" s="20" t="s">
        <v>69</v>
      </c>
      <c r="C10" s="20" t="s">
        <v>70</v>
      </c>
      <c r="D10" s="20" t="s">
        <v>71</v>
      </c>
      <c r="E10" s="20" t="s">
        <v>72</v>
      </c>
      <c r="F10" s="20" t="s">
        <v>60</v>
      </c>
      <c r="G10" s="21">
        <v>46001.0</v>
      </c>
      <c r="H10" s="20" t="s">
        <v>73</v>
      </c>
    </row>
    <row r="11" ht="14.25" customHeight="1">
      <c r="A11" s="19" t="s">
        <v>74</v>
      </c>
      <c r="B11" s="20" t="s">
        <v>75</v>
      </c>
      <c r="C11" s="20" t="s">
        <v>76</v>
      </c>
      <c r="D11" s="20" t="s">
        <v>77</v>
      </c>
      <c r="E11" s="20" t="s">
        <v>78</v>
      </c>
      <c r="F11" s="20" t="s">
        <v>60</v>
      </c>
      <c r="G11" s="21">
        <v>46001.0</v>
      </c>
      <c r="H11" s="20" t="s">
        <v>79</v>
      </c>
    </row>
    <row r="12" ht="14.25" customHeight="1">
      <c r="A12" s="19" t="s">
        <v>80</v>
      </c>
      <c r="B12" s="20" t="s">
        <v>81</v>
      </c>
      <c r="C12" s="20" t="s">
        <v>82</v>
      </c>
      <c r="D12" s="20" t="s">
        <v>83</v>
      </c>
      <c r="E12" s="20" t="s">
        <v>84</v>
      </c>
      <c r="F12" s="20" t="s">
        <v>60</v>
      </c>
      <c r="G12" s="21">
        <v>46001.0</v>
      </c>
      <c r="H12" s="20" t="s">
        <v>85</v>
      </c>
    </row>
    <row r="13" ht="14.25" customHeight="1">
      <c r="A13" s="19" t="s">
        <v>86</v>
      </c>
      <c r="B13" s="20" t="s">
        <v>87</v>
      </c>
      <c r="C13" s="20" t="s">
        <v>88</v>
      </c>
      <c r="D13" s="20" t="s">
        <v>89</v>
      </c>
      <c r="E13" s="20" t="s">
        <v>90</v>
      </c>
      <c r="F13" s="20" t="s">
        <v>60</v>
      </c>
      <c r="G13" s="21">
        <v>46001.0</v>
      </c>
      <c r="H13" s="20" t="s">
        <v>91</v>
      </c>
    </row>
    <row r="14" ht="14.25" customHeight="1">
      <c r="A14" s="19" t="s">
        <v>92</v>
      </c>
      <c r="B14" s="20" t="s">
        <v>93</v>
      </c>
      <c r="C14" s="20" t="s">
        <v>94</v>
      </c>
      <c r="D14" s="20" t="s">
        <v>95</v>
      </c>
      <c r="E14" s="20" t="s">
        <v>96</v>
      </c>
      <c r="F14" s="20" t="s">
        <v>60</v>
      </c>
      <c r="G14" s="21">
        <v>46001.0</v>
      </c>
      <c r="H14" s="20" t="s">
        <v>97</v>
      </c>
    </row>
    <row r="15" ht="14.25" customHeight="1">
      <c r="A15" s="19" t="s">
        <v>98</v>
      </c>
      <c r="B15" s="20" t="s">
        <v>99</v>
      </c>
      <c r="C15" s="20" t="s">
        <v>100</v>
      </c>
      <c r="D15" s="20" t="s">
        <v>101</v>
      </c>
      <c r="E15" s="20" t="s">
        <v>102</v>
      </c>
      <c r="F15" s="20" t="s">
        <v>60</v>
      </c>
      <c r="G15" s="21">
        <v>46001.0</v>
      </c>
      <c r="H15" s="20" t="s">
        <v>103</v>
      </c>
    </row>
    <row r="16" ht="14.25" customHeight="1">
      <c r="A16" s="19" t="s">
        <v>104</v>
      </c>
      <c r="B16" s="20" t="s">
        <v>105</v>
      </c>
      <c r="C16" s="20" t="s">
        <v>106</v>
      </c>
      <c r="D16" s="20" t="s">
        <v>107</v>
      </c>
      <c r="E16" s="20" t="s">
        <v>108</v>
      </c>
      <c r="F16" s="20" t="s">
        <v>60</v>
      </c>
      <c r="G16" s="21">
        <v>46001.0</v>
      </c>
      <c r="H16" s="20" t="s">
        <v>109</v>
      </c>
    </row>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B1:F1"/>
    <mergeCell ref="B2:F2"/>
    <mergeCell ref="B3:F3"/>
    <mergeCell ref="E4:F4"/>
    <mergeCell ref="E5:F5"/>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13"/>
    <col customWidth="1" min="2" max="2" width="16.5"/>
    <col customWidth="1" min="3" max="3" width="18.5"/>
    <col customWidth="1" min="4" max="4" width="21.75"/>
    <col customWidth="1" min="5" max="5" width="20.38"/>
    <col customWidth="1" min="6" max="6" width="33.5"/>
    <col customWidth="1" min="7" max="7" width="10.38"/>
    <col customWidth="1" min="8" max="26" width="8.63"/>
  </cols>
  <sheetData>
    <row r="1" ht="14.25" customHeight="1">
      <c r="A1" s="1" t="s">
        <v>0</v>
      </c>
      <c r="B1" s="2" t="s">
        <v>110</v>
      </c>
      <c r="C1" s="3"/>
      <c r="D1" s="3"/>
      <c r="E1" s="3"/>
      <c r="F1" s="4"/>
    </row>
    <row r="2" ht="14.25" customHeight="1">
      <c r="A2" s="5" t="s">
        <v>2</v>
      </c>
      <c r="B2" s="2"/>
      <c r="C2" s="3"/>
      <c r="D2" s="3"/>
      <c r="E2" s="3"/>
      <c r="F2" s="4"/>
    </row>
    <row r="3" ht="14.25" customHeight="1">
      <c r="A3" s="1" t="s">
        <v>3</v>
      </c>
      <c r="B3" s="6"/>
      <c r="C3" s="7"/>
      <c r="D3" s="7"/>
      <c r="E3" s="7"/>
      <c r="F3" s="8"/>
    </row>
    <row r="4" ht="14.25" customHeight="1">
      <c r="A4" s="9" t="s">
        <v>4</v>
      </c>
      <c r="B4" s="10" t="s">
        <v>5</v>
      </c>
      <c r="C4" s="10" t="s">
        <v>6</v>
      </c>
      <c r="D4" s="11" t="s">
        <v>7</v>
      </c>
      <c r="E4" s="12" t="s">
        <v>8</v>
      </c>
      <c r="F4" s="4"/>
    </row>
    <row r="5" ht="14.25" customHeight="1">
      <c r="A5" s="13">
        <f>COUNTIF(F7:F1001,"Pass")</f>
        <v>10</v>
      </c>
      <c r="B5" s="14">
        <f>COUNTIF(F7:F1001,"Fail")</f>
        <v>0</v>
      </c>
      <c r="C5" s="14">
        <f>E5-D5-B5-A5</f>
        <v>0</v>
      </c>
      <c r="D5" s="15">
        <f>COUNTIF(F$8:F$1002,"N/A")</f>
        <v>0</v>
      </c>
      <c r="E5" s="16">
        <f>COUNTA(A8:A1001)</f>
        <v>10</v>
      </c>
      <c r="F5" s="17"/>
    </row>
    <row r="6" ht="14.25" customHeight="1"/>
    <row r="7" ht="14.25" customHeight="1">
      <c r="A7" s="18" t="s">
        <v>9</v>
      </c>
      <c r="B7" s="18" t="s">
        <v>10</v>
      </c>
      <c r="C7" s="18" t="s">
        <v>11</v>
      </c>
      <c r="D7" s="18" t="s">
        <v>12</v>
      </c>
      <c r="E7" s="18" t="s">
        <v>13</v>
      </c>
      <c r="F7" s="18" t="s">
        <v>14</v>
      </c>
      <c r="G7" s="18" t="s">
        <v>15</v>
      </c>
      <c r="H7" s="18" t="s">
        <v>16</v>
      </c>
    </row>
    <row r="8" ht="14.25" customHeight="1">
      <c r="A8" s="19" t="s">
        <v>111</v>
      </c>
      <c r="B8" s="20" t="s">
        <v>112</v>
      </c>
      <c r="C8" s="20" t="s">
        <v>113</v>
      </c>
      <c r="D8" s="20" t="s">
        <v>114</v>
      </c>
      <c r="E8" s="20" t="s">
        <v>115</v>
      </c>
      <c r="F8" s="20" t="s">
        <v>60</v>
      </c>
      <c r="G8" s="21">
        <v>46002.0</v>
      </c>
      <c r="H8" s="20" t="s">
        <v>116</v>
      </c>
    </row>
    <row r="9" ht="14.25" customHeight="1">
      <c r="A9" s="19" t="s">
        <v>117</v>
      </c>
      <c r="B9" s="20" t="s">
        <v>118</v>
      </c>
      <c r="C9" s="20" t="s">
        <v>119</v>
      </c>
      <c r="D9" s="20" t="s">
        <v>120</v>
      </c>
      <c r="E9" s="20" t="s">
        <v>121</v>
      </c>
      <c r="F9" s="20" t="s">
        <v>60</v>
      </c>
      <c r="G9" s="21">
        <v>46002.0</v>
      </c>
      <c r="H9" s="20" t="s">
        <v>122</v>
      </c>
    </row>
    <row r="10" ht="14.25" customHeight="1">
      <c r="A10" s="19" t="s">
        <v>123</v>
      </c>
      <c r="B10" s="20" t="s">
        <v>124</v>
      </c>
      <c r="C10" s="20" t="s">
        <v>125</v>
      </c>
      <c r="D10" s="20" t="s">
        <v>126</v>
      </c>
      <c r="E10" s="20" t="s">
        <v>127</v>
      </c>
      <c r="F10" s="20" t="s">
        <v>60</v>
      </c>
      <c r="G10" s="21">
        <v>46002.0</v>
      </c>
      <c r="H10" s="20" t="s">
        <v>128</v>
      </c>
    </row>
    <row r="11" ht="14.25" customHeight="1">
      <c r="A11" s="19" t="s">
        <v>129</v>
      </c>
      <c r="B11" s="20" t="s">
        <v>130</v>
      </c>
      <c r="C11" s="20" t="s">
        <v>131</v>
      </c>
      <c r="D11" s="20" t="s">
        <v>132</v>
      </c>
      <c r="E11" s="20" t="s">
        <v>133</v>
      </c>
      <c r="F11" s="20" t="s">
        <v>60</v>
      </c>
      <c r="G11" s="21">
        <v>46002.0</v>
      </c>
      <c r="H11" s="20" t="s">
        <v>134</v>
      </c>
    </row>
    <row r="12" ht="14.25" customHeight="1">
      <c r="A12" s="19" t="s">
        <v>135</v>
      </c>
      <c r="B12" s="20" t="s">
        <v>136</v>
      </c>
      <c r="C12" s="20" t="s">
        <v>137</v>
      </c>
      <c r="D12" s="20" t="s">
        <v>138</v>
      </c>
      <c r="E12" s="20" t="s">
        <v>139</v>
      </c>
      <c r="F12" s="20" t="s">
        <v>60</v>
      </c>
      <c r="G12" s="21">
        <v>46002.0</v>
      </c>
      <c r="H12" s="20" t="s">
        <v>140</v>
      </c>
    </row>
    <row r="13" ht="14.25" customHeight="1">
      <c r="A13" s="19" t="s">
        <v>141</v>
      </c>
      <c r="B13" s="20" t="s">
        <v>142</v>
      </c>
      <c r="C13" s="20" t="s">
        <v>143</v>
      </c>
      <c r="D13" s="20" t="s">
        <v>144</v>
      </c>
      <c r="E13" s="20" t="s">
        <v>145</v>
      </c>
      <c r="F13" s="20" t="s">
        <v>60</v>
      </c>
      <c r="G13" s="21">
        <v>46002.0</v>
      </c>
      <c r="H13" s="20" t="s">
        <v>146</v>
      </c>
    </row>
    <row r="14" ht="14.25" customHeight="1">
      <c r="A14" s="19" t="s">
        <v>147</v>
      </c>
      <c r="B14" s="20" t="s">
        <v>148</v>
      </c>
      <c r="C14" s="20" t="s">
        <v>149</v>
      </c>
      <c r="D14" s="20" t="s">
        <v>150</v>
      </c>
      <c r="E14" s="20" t="s">
        <v>151</v>
      </c>
      <c r="F14" s="20" t="s">
        <v>60</v>
      </c>
      <c r="G14" s="21">
        <v>46002.0</v>
      </c>
      <c r="H14" s="20" t="s">
        <v>152</v>
      </c>
    </row>
    <row r="15" ht="14.25" customHeight="1">
      <c r="A15" s="19" t="s">
        <v>153</v>
      </c>
      <c r="B15" s="20" t="s">
        <v>154</v>
      </c>
      <c r="C15" s="20" t="s">
        <v>155</v>
      </c>
      <c r="D15" s="20" t="s">
        <v>156</v>
      </c>
      <c r="E15" s="20" t="s">
        <v>157</v>
      </c>
      <c r="F15" s="20" t="s">
        <v>60</v>
      </c>
      <c r="G15" s="21">
        <v>46002.0</v>
      </c>
      <c r="H15" s="20" t="s">
        <v>158</v>
      </c>
    </row>
    <row r="16" ht="14.25" customHeight="1">
      <c r="A16" s="19" t="s">
        <v>159</v>
      </c>
      <c r="B16" s="20" t="s">
        <v>160</v>
      </c>
      <c r="C16" s="20" t="s">
        <v>161</v>
      </c>
      <c r="D16" s="20" t="s">
        <v>162</v>
      </c>
      <c r="E16" s="20" t="s">
        <v>163</v>
      </c>
      <c r="F16" s="20" t="s">
        <v>60</v>
      </c>
      <c r="G16" s="21">
        <v>46002.0</v>
      </c>
      <c r="H16" s="20" t="s">
        <v>164</v>
      </c>
    </row>
    <row r="17" ht="14.25" customHeight="1">
      <c r="A17" s="19" t="s">
        <v>165</v>
      </c>
      <c r="B17" s="20" t="s">
        <v>166</v>
      </c>
      <c r="C17" s="20" t="s">
        <v>167</v>
      </c>
      <c r="D17" s="20" t="s">
        <v>168</v>
      </c>
      <c r="E17" s="20" t="s">
        <v>169</v>
      </c>
      <c r="F17" s="20" t="s">
        <v>60</v>
      </c>
      <c r="G17" s="21">
        <v>46002.0</v>
      </c>
      <c r="H17" s="20" t="s">
        <v>170</v>
      </c>
    </row>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B1:F1"/>
    <mergeCell ref="B2:F2"/>
    <mergeCell ref="B3:F3"/>
    <mergeCell ref="E4:F4"/>
    <mergeCell ref="E5:F5"/>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6.88"/>
    <col customWidth="1" min="2" max="2" width="19.13"/>
    <col customWidth="1" min="3" max="3" width="17.0"/>
    <col customWidth="1" min="4" max="4" width="18.88"/>
    <col customWidth="1" min="5" max="5" width="27.38"/>
    <col customWidth="1" min="6" max="6" width="15.25"/>
    <col customWidth="1" min="7" max="7" width="10.38"/>
    <col customWidth="1" min="8" max="8" width="15.88"/>
    <col customWidth="1" min="9" max="26" width="8.63"/>
  </cols>
  <sheetData>
    <row r="1" ht="14.25" customHeight="1">
      <c r="A1" s="1" t="s">
        <v>0</v>
      </c>
      <c r="B1" s="2" t="s">
        <v>171</v>
      </c>
      <c r="C1" s="3"/>
      <c r="D1" s="3"/>
      <c r="E1" s="3"/>
      <c r="F1" s="4"/>
    </row>
    <row r="2" ht="14.25" customHeight="1">
      <c r="A2" s="5" t="s">
        <v>2</v>
      </c>
      <c r="B2" s="2"/>
      <c r="C2" s="3"/>
      <c r="D2" s="3"/>
      <c r="E2" s="3"/>
      <c r="F2" s="4"/>
    </row>
    <row r="3" ht="14.25" customHeight="1">
      <c r="A3" s="1" t="s">
        <v>3</v>
      </c>
      <c r="B3" s="6"/>
      <c r="C3" s="7"/>
      <c r="D3" s="7"/>
      <c r="E3" s="7"/>
      <c r="F3" s="8"/>
    </row>
    <row r="4" ht="14.25" customHeight="1">
      <c r="A4" s="9" t="s">
        <v>4</v>
      </c>
      <c r="B4" s="10" t="s">
        <v>5</v>
      </c>
      <c r="C4" s="10" t="s">
        <v>6</v>
      </c>
      <c r="D4" s="11" t="s">
        <v>7</v>
      </c>
      <c r="E4" s="12" t="s">
        <v>8</v>
      </c>
      <c r="F4" s="4"/>
    </row>
    <row r="5" ht="14.25" customHeight="1">
      <c r="A5" s="13">
        <f>COUNTIF(F7:F1001,"Pass")</f>
        <v>13</v>
      </c>
      <c r="B5" s="14">
        <f>COUNTIF(F7:F1001,"Fail")</f>
        <v>0</v>
      </c>
      <c r="C5" s="14">
        <f>E5-D5-B5-A5</f>
        <v>0</v>
      </c>
      <c r="D5" s="15">
        <f>COUNTIF(F$8:F$1002,"N/A")</f>
        <v>0</v>
      </c>
      <c r="E5" s="16">
        <f>COUNTA(A8:A1001)</f>
        <v>13</v>
      </c>
      <c r="F5" s="17"/>
    </row>
    <row r="6" ht="14.25" customHeight="1"/>
    <row r="7" ht="14.25" customHeight="1">
      <c r="A7" s="18" t="s">
        <v>9</v>
      </c>
      <c r="B7" s="18" t="s">
        <v>10</v>
      </c>
      <c r="C7" s="18" t="s">
        <v>11</v>
      </c>
      <c r="D7" s="18" t="s">
        <v>172</v>
      </c>
      <c r="E7" s="18" t="s">
        <v>13</v>
      </c>
      <c r="F7" s="18" t="s">
        <v>14</v>
      </c>
      <c r="G7" s="18" t="s">
        <v>15</v>
      </c>
      <c r="H7" s="18" t="s">
        <v>16</v>
      </c>
    </row>
    <row r="8" ht="14.25" customHeight="1">
      <c r="A8" s="19" t="s">
        <v>173</v>
      </c>
      <c r="B8" s="20" t="s">
        <v>174</v>
      </c>
      <c r="C8" s="20" t="s">
        <v>175</v>
      </c>
      <c r="D8" s="20" t="s">
        <v>176</v>
      </c>
      <c r="E8" s="20" t="s">
        <v>177</v>
      </c>
      <c r="F8" s="20" t="s">
        <v>60</v>
      </c>
      <c r="G8" s="21">
        <v>46002.0</v>
      </c>
      <c r="H8" s="20" t="s">
        <v>178</v>
      </c>
    </row>
    <row r="9" ht="14.25" customHeight="1">
      <c r="A9" s="19" t="s">
        <v>179</v>
      </c>
      <c r="B9" s="20" t="s">
        <v>180</v>
      </c>
      <c r="C9" s="20" t="s">
        <v>181</v>
      </c>
      <c r="D9" s="20" t="s">
        <v>126</v>
      </c>
      <c r="E9" s="20" t="s">
        <v>182</v>
      </c>
      <c r="F9" s="20" t="s">
        <v>60</v>
      </c>
      <c r="G9" s="21">
        <v>46002.0</v>
      </c>
      <c r="H9" s="20" t="s">
        <v>183</v>
      </c>
    </row>
    <row r="10" ht="14.25" customHeight="1">
      <c r="A10" s="19" t="s">
        <v>184</v>
      </c>
      <c r="B10" s="20" t="s">
        <v>185</v>
      </c>
      <c r="C10" s="20" t="s">
        <v>186</v>
      </c>
      <c r="D10" s="20" t="s">
        <v>187</v>
      </c>
      <c r="E10" s="20" t="s">
        <v>188</v>
      </c>
      <c r="F10" s="20" t="s">
        <v>60</v>
      </c>
      <c r="G10" s="21">
        <v>46002.0</v>
      </c>
      <c r="H10" s="20" t="s">
        <v>189</v>
      </c>
    </row>
    <row r="11" ht="14.25" customHeight="1">
      <c r="A11" s="19" t="s">
        <v>190</v>
      </c>
      <c r="B11" s="20" t="s">
        <v>191</v>
      </c>
      <c r="C11" s="20" t="s">
        <v>192</v>
      </c>
      <c r="D11" s="20" t="s">
        <v>193</v>
      </c>
      <c r="E11" s="20" t="s">
        <v>194</v>
      </c>
      <c r="F11" s="20" t="s">
        <v>60</v>
      </c>
      <c r="G11" s="21">
        <v>46002.0</v>
      </c>
      <c r="H11" s="20" t="s">
        <v>195</v>
      </c>
    </row>
    <row r="12" ht="14.25" customHeight="1">
      <c r="A12" s="19" t="s">
        <v>196</v>
      </c>
      <c r="B12" s="20" t="s">
        <v>197</v>
      </c>
      <c r="C12" s="20" t="s">
        <v>198</v>
      </c>
      <c r="D12" s="20" t="s">
        <v>199</v>
      </c>
      <c r="E12" s="20" t="s">
        <v>200</v>
      </c>
      <c r="F12" s="20" t="s">
        <v>60</v>
      </c>
      <c r="G12" s="21">
        <v>46002.0</v>
      </c>
      <c r="H12" s="20" t="s">
        <v>201</v>
      </c>
    </row>
    <row r="13" ht="14.25" customHeight="1">
      <c r="A13" s="19" t="s">
        <v>202</v>
      </c>
      <c r="B13" s="20" t="s">
        <v>203</v>
      </c>
      <c r="C13" s="20" t="s">
        <v>204</v>
      </c>
      <c r="D13" s="20" t="s">
        <v>205</v>
      </c>
      <c r="E13" s="20" t="s">
        <v>206</v>
      </c>
      <c r="F13" s="20" t="s">
        <v>60</v>
      </c>
      <c r="G13" s="21">
        <v>46002.0</v>
      </c>
      <c r="H13" s="20" t="s">
        <v>207</v>
      </c>
    </row>
    <row r="14" ht="14.25" customHeight="1">
      <c r="A14" s="19" t="s">
        <v>208</v>
      </c>
      <c r="B14" s="20" t="s">
        <v>209</v>
      </c>
      <c r="C14" s="20" t="s">
        <v>210</v>
      </c>
      <c r="D14" s="20" t="s">
        <v>211</v>
      </c>
      <c r="E14" s="20" t="s">
        <v>212</v>
      </c>
      <c r="F14" s="20" t="s">
        <v>60</v>
      </c>
      <c r="G14" s="21">
        <v>46002.0</v>
      </c>
      <c r="H14" s="20" t="s">
        <v>213</v>
      </c>
    </row>
    <row r="15" ht="14.25" customHeight="1">
      <c r="A15" s="19" t="s">
        <v>214</v>
      </c>
      <c r="B15" s="20" t="s">
        <v>215</v>
      </c>
      <c r="C15" s="20" t="s">
        <v>216</v>
      </c>
      <c r="D15" s="20" t="s">
        <v>217</v>
      </c>
      <c r="E15" s="20" t="s">
        <v>218</v>
      </c>
      <c r="F15" s="20" t="s">
        <v>60</v>
      </c>
      <c r="G15" s="21">
        <v>46002.0</v>
      </c>
      <c r="H15" s="20" t="s">
        <v>219</v>
      </c>
    </row>
    <row r="16" ht="14.25" customHeight="1">
      <c r="A16" s="19" t="s">
        <v>220</v>
      </c>
      <c r="B16" s="20" t="s">
        <v>221</v>
      </c>
      <c r="C16" s="20" t="s">
        <v>222</v>
      </c>
      <c r="D16" s="20" t="s">
        <v>223</v>
      </c>
      <c r="E16" s="20" t="s">
        <v>224</v>
      </c>
      <c r="F16" s="20" t="s">
        <v>60</v>
      </c>
      <c r="G16" s="21">
        <v>46002.0</v>
      </c>
      <c r="H16" s="20" t="s">
        <v>225</v>
      </c>
    </row>
    <row r="17" ht="14.25" customHeight="1">
      <c r="A17" s="19" t="s">
        <v>226</v>
      </c>
      <c r="B17" s="20" t="s">
        <v>227</v>
      </c>
      <c r="C17" s="20" t="s">
        <v>228</v>
      </c>
      <c r="D17" s="20" t="s">
        <v>229</v>
      </c>
      <c r="E17" s="20" t="s">
        <v>230</v>
      </c>
      <c r="F17" s="20" t="s">
        <v>60</v>
      </c>
      <c r="G17" s="21">
        <v>46002.0</v>
      </c>
      <c r="H17" s="20" t="s">
        <v>231</v>
      </c>
    </row>
    <row r="18" ht="14.25" customHeight="1">
      <c r="A18" s="19" t="s">
        <v>232</v>
      </c>
      <c r="B18" s="20" t="s">
        <v>233</v>
      </c>
      <c r="C18" s="20" t="s">
        <v>234</v>
      </c>
      <c r="D18" s="20" t="s">
        <v>144</v>
      </c>
      <c r="E18" s="20" t="s">
        <v>235</v>
      </c>
      <c r="F18" s="20" t="s">
        <v>60</v>
      </c>
      <c r="G18" s="21">
        <v>46002.0</v>
      </c>
      <c r="H18" s="20" t="s">
        <v>236</v>
      </c>
    </row>
    <row r="19" ht="14.25" customHeight="1">
      <c r="A19" s="19" t="s">
        <v>237</v>
      </c>
      <c r="B19" s="20" t="s">
        <v>160</v>
      </c>
      <c r="C19" s="20" t="s">
        <v>238</v>
      </c>
      <c r="D19" s="20" t="s">
        <v>239</v>
      </c>
      <c r="E19" s="20" t="s">
        <v>240</v>
      </c>
      <c r="F19" s="20" t="s">
        <v>60</v>
      </c>
      <c r="G19" s="21">
        <v>46002.0</v>
      </c>
      <c r="H19" s="20" t="s">
        <v>241</v>
      </c>
    </row>
    <row r="20" ht="14.25" customHeight="1">
      <c r="A20" s="19" t="s">
        <v>242</v>
      </c>
      <c r="B20" s="20" t="s">
        <v>166</v>
      </c>
      <c r="C20" s="20" t="s">
        <v>243</v>
      </c>
      <c r="D20" s="20" t="s">
        <v>244</v>
      </c>
      <c r="E20" s="20" t="s">
        <v>245</v>
      </c>
      <c r="F20" s="20" t="s">
        <v>60</v>
      </c>
      <c r="G20" s="21">
        <v>46002.0</v>
      </c>
      <c r="H20" s="20" t="s">
        <v>246</v>
      </c>
    </row>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B1:F1"/>
    <mergeCell ref="B2:F2"/>
    <mergeCell ref="B3:F3"/>
    <mergeCell ref="E4:F4"/>
    <mergeCell ref="E5:F5"/>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13"/>
    <col customWidth="1" min="2" max="2" width="25.63"/>
    <col customWidth="1" min="3" max="3" width="25.0"/>
    <col customWidth="1" min="4" max="4" width="19.38"/>
    <col customWidth="1" min="5" max="5" width="20.13"/>
    <col customWidth="1" min="6" max="6" width="8.63"/>
    <col customWidth="1" min="7" max="7" width="10.38"/>
    <col customWidth="1" min="8" max="8" width="19.5"/>
    <col customWidth="1" min="9" max="26" width="8.63"/>
  </cols>
  <sheetData>
    <row r="1" ht="14.25" customHeight="1">
      <c r="A1" s="1" t="s">
        <v>0</v>
      </c>
      <c r="B1" s="2" t="s">
        <v>247</v>
      </c>
      <c r="C1" s="3"/>
      <c r="D1" s="3"/>
      <c r="E1" s="3"/>
      <c r="F1" s="4"/>
    </row>
    <row r="2" ht="14.25" customHeight="1">
      <c r="A2" s="5" t="s">
        <v>2</v>
      </c>
      <c r="B2" s="2"/>
      <c r="C2" s="3"/>
      <c r="D2" s="3"/>
      <c r="E2" s="3"/>
      <c r="F2" s="4"/>
    </row>
    <row r="3" ht="14.25" customHeight="1">
      <c r="A3" s="1" t="s">
        <v>3</v>
      </c>
      <c r="B3" s="6"/>
      <c r="C3" s="7"/>
      <c r="D3" s="7"/>
      <c r="E3" s="7"/>
      <c r="F3" s="8"/>
    </row>
    <row r="4" ht="14.25" customHeight="1">
      <c r="A4" s="9" t="s">
        <v>4</v>
      </c>
      <c r="B4" s="10" t="s">
        <v>5</v>
      </c>
      <c r="C4" s="10" t="s">
        <v>6</v>
      </c>
      <c r="D4" s="11" t="s">
        <v>7</v>
      </c>
      <c r="E4" s="12" t="s">
        <v>8</v>
      </c>
      <c r="F4" s="4"/>
    </row>
    <row r="5" ht="14.25" customHeight="1">
      <c r="A5" s="13">
        <f>COUNTIF(F7:F1001,"Pass")</f>
        <v>10</v>
      </c>
      <c r="B5" s="14">
        <f>COUNTIF(F7:F1001,"Fail")</f>
        <v>0</v>
      </c>
      <c r="C5" s="14">
        <f>E5-D5-B5-A5</f>
        <v>0</v>
      </c>
      <c r="D5" s="15">
        <f>COUNTIF(F$8:F$1002,"N/A")</f>
        <v>0</v>
      </c>
      <c r="E5" s="16">
        <f>COUNTA(A8:A1001)</f>
        <v>10</v>
      </c>
      <c r="F5" s="17"/>
    </row>
    <row r="6" ht="14.25" customHeight="1"/>
    <row r="7" ht="14.25" customHeight="1">
      <c r="A7" s="18" t="s">
        <v>9</v>
      </c>
      <c r="B7" s="18" t="s">
        <v>10</v>
      </c>
      <c r="C7" s="18" t="s">
        <v>11</v>
      </c>
      <c r="D7" s="18" t="s">
        <v>12</v>
      </c>
      <c r="E7" s="18" t="s">
        <v>13</v>
      </c>
      <c r="F7" s="18" t="s">
        <v>14</v>
      </c>
      <c r="G7" s="18" t="s">
        <v>15</v>
      </c>
      <c r="H7" s="18" t="s">
        <v>16</v>
      </c>
    </row>
    <row r="8" ht="14.25" customHeight="1">
      <c r="A8" s="19" t="s">
        <v>248</v>
      </c>
      <c r="B8" s="20" t="s">
        <v>249</v>
      </c>
      <c r="C8" s="20" t="s">
        <v>250</v>
      </c>
      <c r="D8" s="20" t="s">
        <v>251</v>
      </c>
      <c r="E8" s="20" t="s">
        <v>252</v>
      </c>
      <c r="F8" s="20" t="s">
        <v>60</v>
      </c>
      <c r="G8" s="21">
        <v>46002.0</v>
      </c>
      <c r="H8" s="20" t="s">
        <v>253</v>
      </c>
    </row>
    <row r="9" ht="14.25" customHeight="1">
      <c r="A9" s="19" t="s">
        <v>254</v>
      </c>
      <c r="B9" s="20" t="s">
        <v>255</v>
      </c>
      <c r="C9" s="20" t="s">
        <v>256</v>
      </c>
      <c r="D9" s="20" t="s">
        <v>257</v>
      </c>
      <c r="E9" s="20" t="s">
        <v>258</v>
      </c>
      <c r="F9" s="20" t="s">
        <v>60</v>
      </c>
      <c r="G9" s="21">
        <v>46002.0</v>
      </c>
      <c r="H9" s="20" t="s">
        <v>259</v>
      </c>
    </row>
    <row r="10" ht="14.25" customHeight="1">
      <c r="A10" s="19" t="s">
        <v>260</v>
      </c>
      <c r="B10" s="20" t="s">
        <v>261</v>
      </c>
      <c r="C10" s="20" t="s">
        <v>262</v>
      </c>
      <c r="D10" s="20" t="s">
        <v>263</v>
      </c>
      <c r="E10" s="20" t="s">
        <v>264</v>
      </c>
      <c r="F10" s="20" t="s">
        <v>60</v>
      </c>
      <c r="G10" s="21">
        <v>46002.0</v>
      </c>
      <c r="H10" s="20" t="s">
        <v>265</v>
      </c>
    </row>
    <row r="11" ht="14.25" customHeight="1">
      <c r="A11" s="19" t="s">
        <v>266</v>
      </c>
      <c r="B11" s="20" t="s">
        <v>267</v>
      </c>
      <c r="C11" s="20" t="s">
        <v>268</v>
      </c>
      <c r="D11" s="20" t="s">
        <v>269</v>
      </c>
      <c r="E11" s="20" t="s">
        <v>270</v>
      </c>
      <c r="F11" s="20" t="s">
        <v>60</v>
      </c>
      <c r="G11" s="21">
        <v>46002.0</v>
      </c>
      <c r="H11" s="20" t="s">
        <v>271</v>
      </c>
    </row>
    <row r="12" ht="14.25" customHeight="1">
      <c r="A12" s="19" t="s">
        <v>272</v>
      </c>
      <c r="B12" s="20" t="s">
        <v>273</v>
      </c>
      <c r="C12" s="20" t="s">
        <v>274</v>
      </c>
      <c r="D12" s="20" t="s">
        <v>275</v>
      </c>
      <c r="E12" s="20" t="s">
        <v>276</v>
      </c>
      <c r="F12" s="20" t="s">
        <v>60</v>
      </c>
      <c r="G12" s="21">
        <v>46002.0</v>
      </c>
      <c r="H12" s="20" t="s">
        <v>277</v>
      </c>
    </row>
    <row r="13" ht="14.25" customHeight="1">
      <c r="A13" s="19" t="s">
        <v>278</v>
      </c>
      <c r="B13" s="20" t="s">
        <v>279</v>
      </c>
      <c r="C13" s="20" t="s">
        <v>280</v>
      </c>
      <c r="D13" s="20" t="s">
        <v>281</v>
      </c>
      <c r="E13" s="20" t="s">
        <v>282</v>
      </c>
      <c r="F13" s="20" t="s">
        <v>60</v>
      </c>
      <c r="G13" s="21">
        <v>46002.0</v>
      </c>
      <c r="H13" s="20" t="s">
        <v>283</v>
      </c>
    </row>
    <row r="14" ht="14.25" customHeight="1">
      <c r="A14" s="19" t="s">
        <v>284</v>
      </c>
      <c r="B14" s="20" t="s">
        <v>285</v>
      </c>
      <c r="C14" s="20" t="s">
        <v>286</v>
      </c>
      <c r="D14" s="20" t="s">
        <v>287</v>
      </c>
      <c r="E14" s="20" t="s">
        <v>288</v>
      </c>
      <c r="F14" s="20" t="s">
        <v>60</v>
      </c>
      <c r="G14" s="21">
        <v>46002.0</v>
      </c>
      <c r="H14" s="20" t="s">
        <v>289</v>
      </c>
    </row>
    <row r="15" ht="14.25" customHeight="1">
      <c r="A15" s="19" t="s">
        <v>290</v>
      </c>
      <c r="B15" s="20" t="s">
        <v>69</v>
      </c>
      <c r="C15" s="20" t="s">
        <v>291</v>
      </c>
      <c r="D15" s="20" t="s">
        <v>292</v>
      </c>
      <c r="E15" s="20" t="s">
        <v>293</v>
      </c>
      <c r="F15" s="20" t="s">
        <v>60</v>
      </c>
      <c r="G15" s="21">
        <v>46002.0</v>
      </c>
      <c r="H15" s="20" t="s">
        <v>294</v>
      </c>
    </row>
    <row r="16" ht="14.25" customHeight="1">
      <c r="A16" s="19" t="s">
        <v>295</v>
      </c>
      <c r="B16" s="20" t="s">
        <v>296</v>
      </c>
      <c r="C16" s="20" t="s">
        <v>297</v>
      </c>
      <c r="D16" s="20" t="s">
        <v>298</v>
      </c>
      <c r="E16" s="20" t="s">
        <v>299</v>
      </c>
      <c r="F16" s="20" t="s">
        <v>60</v>
      </c>
      <c r="G16" s="21">
        <v>46002.0</v>
      </c>
      <c r="H16" s="20" t="s">
        <v>300</v>
      </c>
    </row>
    <row r="17" ht="14.25" customHeight="1">
      <c r="A17" s="19" t="s">
        <v>301</v>
      </c>
      <c r="B17" s="20" t="s">
        <v>302</v>
      </c>
      <c r="C17" s="20" t="s">
        <v>303</v>
      </c>
      <c r="D17" s="20" t="s">
        <v>304</v>
      </c>
      <c r="E17" s="20" t="s">
        <v>305</v>
      </c>
      <c r="F17" s="20" t="s">
        <v>60</v>
      </c>
      <c r="G17" s="21">
        <v>46002.0</v>
      </c>
      <c r="H17" s="20" t="s">
        <v>306</v>
      </c>
    </row>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B1:F1"/>
    <mergeCell ref="B2:F2"/>
    <mergeCell ref="B3:F3"/>
    <mergeCell ref="E4:F4"/>
    <mergeCell ref="E5:F5"/>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0.0"/>
    <col customWidth="1" min="2" max="2" width="22.63"/>
    <col customWidth="1" min="3" max="3" width="20.0"/>
    <col customWidth="1" min="4" max="4" width="20.5"/>
    <col customWidth="1" min="5" max="5" width="18.75"/>
    <col customWidth="1" min="6" max="6" width="16.75"/>
    <col customWidth="1" min="7" max="7" width="21.38"/>
    <col customWidth="1" min="8" max="8" width="17.63"/>
    <col customWidth="1" min="9" max="26" width="8.63"/>
  </cols>
  <sheetData>
    <row r="1" ht="14.25" customHeight="1">
      <c r="A1" s="1" t="s">
        <v>0</v>
      </c>
      <c r="B1" s="2" t="s">
        <v>307</v>
      </c>
      <c r="C1" s="3"/>
      <c r="D1" s="3"/>
      <c r="E1" s="3"/>
      <c r="F1" s="4"/>
    </row>
    <row r="2" ht="14.25" customHeight="1">
      <c r="A2" s="5" t="s">
        <v>2</v>
      </c>
      <c r="B2" s="2"/>
      <c r="C2" s="3"/>
      <c r="D2" s="3"/>
      <c r="E2" s="3"/>
      <c r="F2" s="4"/>
    </row>
    <row r="3" ht="14.25" customHeight="1">
      <c r="A3" s="1" t="s">
        <v>3</v>
      </c>
      <c r="B3" s="6"/>
      <c r="C3" s="7"/>
      <c r="D3" s="7"/>
      <c r="E3" s="7"/>
      <c r="F3" s="8"/>
    </row>
    <row r="4" ht="14.25" customHeight="1">
      <c r="A4" s="9" t="s">
        <v>4</v>
      </c>
      <c r="B4" s="10" t="s">
        <v>5</v>
      </c>
      <c r="C4" s="10" t="s">
        <v>6</v>
      </c>
      <c r="D4" s="11" t="s">
        <v>7</v>
      </c>
      <c r="E4" s="12" t="s">
        <v>8</v>
      </c>
      <c r="F4" s="4"/>
    </row>
    <row r="5" ht="14.25" customHeight="1">
      <c r="A5" s="13">
        <f>COUNTIF(F7:F1001,"Pass")</f>
        <v>10</v>
      </c>
      <c r="B5" s="14">
        <f>COUNTIF(F7:F1001,"Fail")</f>
        <v>0</v>
      </c>
      <c r="C5" s="14">
        <f>E5-D5-B5-A5</f>
        <v>0</v>
      </c>
      <c r="D5" s="15">
        <f>COUNTIF(F$8:F$1002,"N/A")</f>
        <v>0</v>
      </c>
      <c r="E5" s="16">
        <f>COUNTA(A8:A1001)</f>
        <v>10</v>
      </c>
      <c r="F5" s="17"/>
    </row>
    <row r="6" ht="14.25" customHeight="1"/>
    <row r="7" ht="14.25" customHeight="1">
      <c r="A7" s="18" t="s">
        <v>9</v>
      </c>
      <c r="B7" s="18" t="s">
        <v>10</v>
      </c>
      <c r="C7" s="18" t="s">
        <v>11</v>
      </c>
      <c r="D7" s="18" t="s">
        <v>12</v>
      </c>
      <c r="E7" s="18" t="s">
        <v>13</v>
      </c>
      <c r="F7" s="18" t="s">
        <v>14</v>
      </c>
      <c r="G7" s="18" t="s">
        <v>15</v>
      </c>
      <c r="H7" s="18" t="s">
        <v>16</v>
      </c>
    </row>
    <row r="8" ht="14.25" customHeight="1">
      <c r="A8" s="19" t="s">
        <v>308</v>
      </c>
      <c r="B8" s="20" t="s">
        <v>309</v>
      </c>
      <c r="C8" s="20" t="s">
        <v>310</v>
      </c>
      <c r="D8" s="20" t="s">
        <v>311</v>
      </c>
      <c r="E8" s="20" t="s">
        <v>312</v>
      </c>
      <c r="F8" s="20" t="s">
        <v>60</v>
      </c>
      <c r="G8" s="21">
        <v>46001.0</v>
      </c>
      <c r="H8" s="20" t="s">
        <v>313</v>
      </c>
    </row>
    <row r="9" ht="14.25" customHeight="1">
      <c r="A9" s="19" t="s">
        <v>314</v>
      </c>
      <c r="B9" s="20" t="s">
        <v>315</v>
      </c>
      <c r="C9" s="20" t="s">
        <v>316</v>
      </c>
      <c r="D9" s="20" t="s">
        <v>317</v>
      </c>
      <c r="E9" s="20" t="s">
        <v>318</v>
      </c>
      <c r="F9" s="20" t="s">
        <v>60</v>
      </c>
      <c r="G9" s="21">
        <v>46001.0</v>
      </c>
      <c r="H9" s="20" t="s">
        <v>319</v>
      </c>
    </row>
    <row r="10" ht="14.25" customHeight="1">
      <c r="A10" s="19" t="s">
        <v>320</v>
      </c>
      <c r="B10" s="20" t="s">
        <v>321</v>
      </c>
      <c r="C10" s="20" t="s">
        <v>322</v>
      </c>
      <c r="D10" s="20" t="s">
        <v>323</v>
      </c>
      <c r="E10" s="20" t="s">
        <v>324</v>
      </c>
      <c r="F10" s="20" t="s">
        <v>60</v>
      </c>
      <c r="G10" s="21">
        <v>46001.0</v>
      </c>
      <c r="H10" s="20" t="s">
        <v>325</v>
      </c>
    </row>
    <row r="11" ht="14.25" customHeight="1">
      <c r="A11" s="19" t="s">
        <v>326</v>
      </c>
      <c r="B11" s="20" t="s">
        <v>327</v>
      </c>
      <c r="C11" s="20" t="s">
        <v>328</v>
      </c>
      <c r="D11" s="20" t="s">
        <v>329</v>
      </c>
      <c r="E11" s="20" t="s">
        <v>330</v>
      </c>
      <c r="F11" s="20" t="s">
        <v>60</v>
      </c>
      <c r="G11" s="21">
        <v>46001.0</v>
      </c>
      <c r="H11" s="20" t="s">
        <v>331</v>
      </c>
    </row>
    <row r="12" ht="14.25" customHeight="1">
      <c r="A12" s="19" t="s">
        <v>332</v>
      </c>
      <c r="B12" s="20" t="s">
        <v>333</v>
      </c>
      <c r="C12" s="20" t="s">
        <v>334</v>
      </c>
      <c r="D12" s="20" t="s">
        <v>335</v>
      </c>
      <c r="E12" s="20" t="s">
        <v>336</v>
      </c>
      <c r="F12" s="20" t="s">
        <v>60</v>
      </c>
      <c r="G12" s="21">
        <v>46001.0</v>
      </c>
      <c r="H12" s="20" t="s">
        <v>337</v>
      </c>
    </row>
    <row r="13" ht="14.25" customHeight="1">
      <c r="A13" s="19" t="s">
        <v>338</v>
      </c>
      <c r="B13" s="20" t="s">
        <v>339</v>
      </c>
      <c r="C13" s="20" t="s">
        <v>340</v>
      </c>
      <c r="D13" s="20" t="s">
        <v>341</v>
      </c>
      <c r="E13" s="20" t="s">
        <v>342</v>
      </c>
      <c r="F13" s="20" t="s">
        <v>60</v>
      </c>
      <c r="G13" s="21">
        <v>46001.0</v>
      </c>
      <c r="H13" s="20" t="s">
        <v>343</v>
      </c>
    </row>
    <row r="14" ht="14.25" customHeight="1">
      <c r="A14" s="19" t="s">
        <v>344</v>
      </c>
      <c r="B14" s="20" t="s">
        <v>345</v>
      </c>
      <c r="C14" s="20" t="s">
        <v>346</v>
      </c>
      <c r="D14" s="20" t="s">
        <v>347</v>
      </c>
      <c r="E14" s="20" t="s">
        <v>348</v>
      </c>
      <c r="F14" s="20" t="s">
        <v>60</v>
      </c>
      <c r="G14" s="21">
        <v>46001.0</v>
      </c>
      <c r="H14" s="20" t="s">
        <v>349</v>
      </c>
    </row>
    <row r="15" ht="14.25" customHeight="1">
      <c r="A15" s="19" t="s">
        <v>350</v>
      </c>
      <c r="B15" s="20" t="s">
        <v>351</v>
      </c>
      <c r="C15" s="20" t="s">
        <v>352</v>
      </c>
      <c r="D15" s="20" t="s">
        <v>353</v>
      </c>
      <c r="E15" s="20" t="s">
        <v>354</v>
      </c>
      <c r="F15" s="20" t="s">
        <v>60</v>
      </c>
      <c r="G15" s="21">
        <v>46001.0</v>
      </c>
      <c r="H15" s="20" t="s">
        <v>355</v>
      </c>
    </row>
    <row r="16" ht="14.25" customHeight="1">
      <c r="A16" s="19" t="s">
        <v>356</v>
      </c>
      <c r="B16" s="20" t="s">
        <v>357</v>
      </c>
      <c r="C16" s="20" t="s">
        <v>358</v>
      </c>
      <c r="D16" s="20" t="s">
        <v>359</v>
      </c>
      <c r="E16" s="20" t="s">
        <v>360</v>
      </c>
      <c r="F16" s="20" t="s">
        <v>60</v>
      </c>
      <c r="G16" s="21">
        <v>46001.0</v>
      </c>
      <c r="H16" s="20" t="s">
        <v>361</v>
      </c>
    </row>
    <row r="17" ht="14.25" customHeight="1">
      <c r="A17" s="19" t="s">
        <v>362</v>
      </c>
      <c r="B17" s="20" t="s">
        <v>363</v>
      </c>
      <c r="C17" s="20" t="s">
        <v>364</v>
      </c>
      <c r="D17" s="20" t="s">
        <v>365</v>
      </c>
      <c r="E17" s="20" t="s">
        <v>366</v>
      </c>
      <c r="F17" s="20" t="s">
        <v>60</v>
      </c>
      <c r="G17" s="21">
        <v>46001.0</v>
      </c>
      <c r="H17" s="20" t="s">
        <v>283</v>
      </c>
    </row>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B1:F1"/>
    <mergeCell ref="B2:F2"/>
    <mergeCell ref="B3:F3"/>
    <mergeCell ref="E4:F4"/>
    <mergeCell ref="E5:F5"/>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6.88"/>
    <col customWidth="1" min="2" max="2" width="14.5"/>
    <col customWidth="1" min="3" max="3" width="20.63"/>
    <col customWidth="1" min="4" max="4" width="18.13"/>
    <col customWidth="1" min="5" max="5" width="20.13"/>
    <col customWidth="1" min="6" max="6" width="19.38"/>
    <col customWidth="1" min="7" max="7" width="20.0"/>
    <col customWidth="1" min="8" max="8" width="20.5"/>
    <col customWidth="1" min="9" max="26" width="8.63"/>
  </cols>
  <sheetData>
    <row r="1" ht="14.25" customHeight="1">
      <c r="A1" s="1" t="s">
        <v>0</v>
      </c>
      <c r="B1" s="2" t="s">
        <v>367</v>
      </c>
      <c r="C1" s="3"/>
      <c r="D1" s="3"/>
      <c r="E1" s="3"/>
      <c r="F1" s="4"/>
    </row>
    <row r="2" ht="14.25" customHeight="1">
      <c r="A2" s="5" t="s">
        <v>2</v>
      </c>
      <c r="B2" s="2"/>
      <c r="C2" s="3"/>
      <c r="D2" s="3"/>
      <c r="E2" s="3"/>
      <c r="F2" s="4"/>
    </row>
    <row r="3" ht="14.25" customHeight="1">
      <c r="A3" s="1" t="s">
        <v>3</v>
      </c>
      <c r="B3" s="6"/>
      <c r="C3" s="7"/>
      <c r="D3" s="7"/>
      <c r="E3" s="7"/>
      <c r="F3" s="8"/>
    </row>
    <row r="4" ht="14.25" customHeight="1">
      <c r="A4" s="9" t="s">
        <v>4</v>
      </c>
      <c r="B4" s="10" t="s">
        <v>5</v>
      </c>
      <c r="C4" s="10" t="s">
        <v>6</v>
      </c>
      <c r="D4" s="11" t="s">
        <v>7</v>
      </c>
      <c r="E4" s="12" t="s">
        <v>8</v>
      </c>
      <c r="F4" s="4"/>
    </row>
    <row r="5" ht="14.25" customHeight="1">
      <c r="A5" s="13">
        <f>COUNTIF(F7:F1001,"Pass")</f>
        <v>7</v>
      </c>
      <c r="B5" s="14">
        <f>COUNTIF(F7:F1001,"Fail")</f>
        <v>0</v>
      </c>
      <c r="C5" s="14">
        <f>E5-D5-B5-A5</f>
        <v>0</v>
      </c>
      <c r="D5" s="15">
        <f>COUNTIF(F$8:F$1002,"N/A")</f>
        <v>0</v>
      </c>
      <c r="E5" s="16">
        <f>COUNTA(A8:A1001)</f>
        <v>7</v>
      </c>
      <c r="F5" s="17"/>
    </row>
    <row r="6" ht="14.25" customHeight="1"/>
    <row r="7" ht="42.75" customHeight="1">
      <c r="A7" s="18" t="s">
        <v>9</v>
      </c>
      <c r="B7" s="18" t="s">
        <v>10</v>
      </c>
      <c r="C7" s="18" t="s">
        <v>11</v>
      </c>
      <c r="D7" s="18" t="s">
        <v>12</v>
      </c>
      <c r="E7" s="18" t="s">
        <v>13</v>
      </c>
      <c r="F7" s="18" t="s">
        <v>14</v>
      </c>
      <c r="G7" s="18" t="s">
        <v>15</v>
      </c>
      <c r="H7" s="18" t="s">
        <v>16</v>
      </c>
    </row>
    <row r="8" ht="158.25" customHeight="1">
      <c r="A8" s="19" t="s">
        <v>368</v>
      </c>
      <c r="B8" s="20" t="s">
        <v>369</v>
      </c>
      <c r="C8" s="20" t="s">
        <v>370</v>
      </c>
      <c r="D8" s="20" t="s">
        <v>371</v>
      </c>
      <c r="E8" s="20" t="s">
        <v>372</v>
      </c>
      <c r="F8" s="20" t="s">
        <v>60</v>
      </c>
      <c r="G8" s="21">
        <v>46001.0</v>
      </c>
      <c r="H8" s="20" t="s">
        <v>373</v>
      </c>
    </row>
    <row r="9" ht="158.25" customHeight="1">
      <c r="A9" s="19" t="s">
        <v>374</v>
      </c>
      <c r="B9" s="20" t="s">
        <v>375</v>
      </c>
      <c r="C9" s="20" t="s">
        <v>376</v>
      </c>
      <c r="D9" s="20" t="s">
        <v>377</v>
      </c>
      <c r="E9" s="20" t="s">
        <v>378</v>
      </c>
      <c r="F9" s="20" t="s">
        <v>60</v>
      </c>
      <c r="G9" s="21">
        <v>46001.0</v>
      </c>
      <c r="H9" s="20" t="s">
        <v>379</v>
      </c>
    </row>
    <row r="10" ht="144.0" customHeight="1">
      <c r="A10" s="19" t="s">
        <v>380</v>
      </c>
      <c r="B10" s="20" t="s">
        <v>381</v>
      </c>
      <c r="C10" s="20" t="s">
        <v>382</v>
      </c>
      <c r="D10" s="20" t="s">
        <v>383</v>
      </c>
      <c r="E10" s="20" t="s">
        <v>384</v>
      </c>
      <c r="F10" s="20" t="s">
        <v>60</v>
      </c>
      <c r="G10" s="21">
        <v>46001.0</v>
      </c>
      <c r="H10" s="20" t="s">
        <v>385</v>
      </c>
    </row>
    <row r="11" ht="100.5" customHeight="1">
      <c r="A11" s="19" t="s">
        <v>386</v>
      </c>
      <c r="B11" s="20" t="s">
        <v>387</v>
      </c>
      <c r="C11" s="20" t="s">
        <v>388</v>
      </c>
      <c r="D11" s="20" t="s">
        <v>389</v>
      </c>
      <c r="E11" s="20" t="s">
        <v>390</v>
      </c>
      <c r="F11" s="20" t="s">
        <v>60</v>
      </c>
      <c r="G11" s="21">
        <v>46001.0</v>
      </c>
      <c r="H11" s="20" t="s">
        <v>391</v>
      </c>
    </row>
    <row r="12" ht="129.0" customHeight="1">
      <c r="A12" s="19" t="s">
        <v>392</v>
      </c>
      <c r="B12" s="20" t="s">
        <v>393</v>
      </c>
      <c r="C12" s="20" t="s">
        <v>394</v>
      </c>
      <c r="D12" s="20" t="s">
        <v>395</v>
      </c>
      <c r="E12" s="20" t="s">
        <v>396</v>
      </c>
      <c r="F12" s="20" t="s">
        <v>60</v>
      </c>
      <c r="G12" s="21">
        <v>46001.0</v>
      </c>
      <c r="H12" s="20" t="s">
        <v>397</v>
      </c>
    </row>
    <row r="13" ht="186.75" customHeight="1">
      <c r="A13" s="19" t="s">
        <v>398</v>
      </c>
      <c r="B13" s="20" t="s">
        <v>399</v>
      </c>
      <c r="C13" s="20" t="s">
        <v>400</v>
      </c>
      <c r="D13" s="20" t="s">
        <v>401</v>
      </c>
      <c r="E13" s="20" t="s">
        <v>402</v>
      </c>
      <c r="F13" s="20" t="s">
        <v>60</v>
      </c>
      <c r="G13" s="21">
        <v>46001.0</v>
      </c>
      <c r="H13" s="20" t="s">
        <v>403</v>
      </c>
    </row>
    <row r="14" ht="216.0" customHeight="1">
      <c r="A14" s="19" t="s">
        <v>404</v>
      </c>
      <c r="B14" s="20" t="s">
        <v>405</v>
      </c>
      <c r="C14" s="20" t="s">
        <v>406</v>
      </c>
      <c r="D14" s="20" t="s">
        <v>407</v>
      </c>
      <c r="E14" s="20" t="s">
        <v>408</v>
      </c>
      <c r="F14" s="20" t="s">
        <v>60</v>
      </c>
      <c r="G14" s="21">
        <v>46001.0</v>
      </c>
      <c r="H14" s="20" t="s">
        <v>409</v>
      </c>
    </row>
    <row r="15" ht="14.25" customHeight="1">
      <c r="A15" s="23"/>
      <c r="B15" s="24"/>
      <c r="C15" s="24"/>
      <c r="D15" s="24"/>
      <c r="E15" s="24"/>
      <c r="F15" s="24"/>
      <c r="G15" s="25"/>
      <c r="H15" s="24"/>
    </row>
    <row r="16" ht="14.25" customHeight="1">
      <c r="A16" s="23"/>
      <c r="B16" s="24"/>
      <c r="C16" s="24"/>
      <c r="D16" s="24"/>
      <c r="E16" s="24"/>
      <c r="F16" s="24"/>
      <c r="G16" s="25"/>
      <c r="H16" s="24"/>
    </row>
    <row r="17" ht="14.25" customHeight="1">
      <c r="A17" s="23"/>
      <c r="B17" s="24"/>
      <c r="C17" s="24"/>
      <c r="D17" s="24"/>
      <c r="E17" s="24"/>
      <c r="F17" s="24"/>
      <c r="G17" s="25"/>
      <c r="H17" s="24"/>
    </row>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B1:F1"/>
    <mergeCell ref="B2:F2"/>
    <mergeCell ref="B3:F3"/>
    <mergeCell ref="E4:F4"/>
    <mergeCell ref="E5:F5"/>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75"/>
    <col customWidth="1" min="2" max="2" width="25.63"/>
    <col customWidth="1" min="3" max="3" width="21.25"/>
    <col customWidth="1" min="4" max="4" width="8.63"/>
    <col customWidth="1" min="5" max="5" width="23.38"/>
    <col customWidth="1" min="6" max="6" width="8.63"/>
    <col customWidth="1" min="7" max="7" width="52.13"/>
    <col customWidth="1" min="8" max="26" width="8.63"/>
  </cols>
  <sheetData>
    <row r="1" ht="14.25" customHeight="1">
      <c r="A1" s="26" t="s">
        <v>410</v>
      </c>
      <c r="B1" s="27"/>
      <c r="C1" s="27"/>
      <c r="D1" s="27"/>
      <c r="E1" s="27"/>
      <c r="F1" s="27"/>
      <c r="G1" s="28"/>
    </row>
    <row r="2" ht="14.25" customHeight="1">
      <c r="A2" s="29"/>
      <c r="B2" s="30"/>
      <c r="C2" s="30"/>
      <c r="D2" s="30"/>
      <c r="E2" s="30"/>
      <c r="F2" s="30"/>
      <c r="G2" s="31"/>
    </row>
    <row r="3" ht="14.25" customHeight="1">
      <c r="A3" s="32" t="s">
        <v>411</v>
      </c>
      <c r="B3" s="33" t="s">
        <v>412</v>
      </c>
      <c r="C3" s="34"/>
      <c r="D3" s="35" t="s">
        <v>413</v>
      </c>
      <c r="E3" s="34"/>
      <c r="F3" s="36" t="s">
        <v>414</v>
      </c>
      <c r="G3" s="34"/>
    </row>
    <row r="4" ht="14.25" customHeight="1">
      <c r="A4" s="32" t="s">
        <v>415</v>
      </c>
      <c r="B4" s="33" t="s">
        <v>412</v>
      </c>
      <c r="C4" s="34"/>
      <c r="D4" s="35" t="s">
        <v>416</v>
      </c>
      <c r="E4" s="34"/>
      <c r="F4" s="37"/>
      <c r="G4" s="34"/>
    </row>
    <row r="5" ht="14.25" customHeight="1">
      <c r="A5" s="38" t="s">
        <v>417</v>
      </c>
      <c r="B5" s="33" t="str">
        <f>B4&amp;"_"&amp;"Test Report"&amp;"_"&amp;"vx.x"</f>
        <v>Grocery Store_Test Report_vx.x</v>
      </c>
      <c r="C5" s="34"/>
      <c r="D5" s="35" t="s">
        <v>418</v>
      </c>
      <c r="E5" s="34"/>
      <c r="F5" s="39" t="s">
        <v>419</v>
      </c>
      <c r="G5" s="34"/>
    </row>
    <row r="6" ht="14.25" customHeight="1">
      <c r="A6" s="38" t="s">
        <v>420</v>
      </c>
      <c r="B6" s="40"/>
      <c r="C6" s="3"/>
      <c r="D6" s="3"/>
      <c r="E6" s="3"/>
      <c r="F6" s="3"/>
      <c r="G6" s="34"/>
    </row>
    <row r="7" ht="14.25" customHeight="1">
      <c r="A7" s="41"/>
      <c r="B7" s="42"/>
      <c r="C7" s="30"/>
      <c r="D7" s="30"/>
      <c r="E7" s="30"/>
      <c r="F7" s="30"/>
      <c r="G7" s="31"/>
    </row>
    <row r="8" ht="14.25" customHeight="1">
      <c r="A8" s="41"/>
      <c r="B8" s="42"/>
      <c r="C8" s="30"/>
      <c r="D8" s="30"/>
      <c r="E8" s="30"/>
      <c r="F8" s="30"/>
      <c r="G8" s="31"/>
    </row>
    <row r="9" ht="14.25" customHeight="1">
      <c r="A9" s="30"/>
      <c r="B9" s="30"/>
      <c r="C9" s="30"/>
      <c r="D9" s="30"/>
      <c r="E9" s="30"/>
      <c r="F9" s="30"/>
      <c r="G9" s="30"/>
    </row>
    <row r="10" ht="14.25" customHeight="1">
      <c r="A10" s="43" t="s">
        <v>421</v>
      </c>
      <c r="B10" s="44" t="s">
        <v>422</v>
      </c>
      <c r="C10" s="45" t="s">
        <v>4</v>
      </c>
      <c r="D10" s="44" t="s">
        <v>5</v>
      </c>
      <c r="E10" s="44" t="s">
        <v>6</v>
      </c>
      <c r="F10" s="46" t="s">
        <v>7</v>
      </c>
      <c r="G10" s="47" t="s">
        <v>423</v>
      </c>
    </row>
    <row r="11" ht="14.25" customHeight="1">
      <c r="A11" s="48">
        <v>1.0</v>
      </c>
      <c r="B11" s="49" t="s">
        <v>1</v>
      </c>
      <c r="C11" s="50">
        <f>'Đăng nhập'!A5</f>
        <v>6</v>
      </c>
      <c r="D11" s="50">
        <f>'Đăng nhập'!B5</f>
        <v>0</v>
      </c>
      <c r="E11" s="50">
        <f>'Đăng nhập'!C5</f>
        <v>0</v>
      </c>
      <c r="F11" s="50">
        <f>'Đăng nhập'!D5</f>
        <v>0</v>
      </c>
      <c r="G11" s="50">
        <f>'Đăng nhập'!E5</f>
        <v>6</v>
      </c>
    </row>
    <row r="12" ht="14.25" customHeight="1">
      <c r="A12" s="48">
        <v>2.0</v>
      </c>
      <c r="B12" s="49" t="s">
        <v>53</v>
      </c>
      <c r="C12" s="50">
        <f>'Tìm kiếm và lọc sản phẩm'!A5</f>
        <v>9</v>
      </c>
      <c r="D12" s="50">
        <f>'Tìm kiếm và lọc sản phẩm'!B5</f>
        <v>0</v>
      </c>
      <c r="E12" s="50">
        <f>'Tìm kiếm và lọc sản phẩm'!C5</f>
        <v>0</v>
      </c>
      <c r="F12" s="50">
        <f>'Tìm kiếm và lọc sản phẩm'!D5</f>
        <v>0</v>
      </c>
      <c r="G12" s="50">
        <f>'Tìm kiếm và lọc sản phẩm'!E5</f>
        <v>9</v>
      </c>
    </row>
    <row r="13" ht="14.25" customHeight="1">
      <c r="A13" s="48">
        <v>3.0</v>
      </c>
      <c r="B13" s="49" t="s">
        <v>171</v>
      </c>
      <c r="C13" s="50">
        <f>'Quản lý đơn hàng (Admin)'!A5</f>
        <v>13</v>
      </c>
      <c r="D13" s="50">
        <f>'Quản lý đơn hàng (Admin)'!B5</f>
        <v>0</v>
      </c>
      <c r="E13" s="50">
        <f>'Quản lý đơn hàng (Admin)'!C5</f>
        <v>0</v>
      </c>
      <c r="F13" s="50">
        <f>'Quản lý đơn hàng (Admin)'!D5</f>
        <v>0</v>
      </c>
      <c r="G13" s="50">
        <f>'Quản lý đơn hàng (Admin)'!E5</f>
        <v>13</v>
      </c>
    </row>
    <row r="14" ht="14.25" customHeight="1">
      <c r="A14" s="48">
        <v>4.0</v>
      </c>
      <c r="B14" s="49" t="s">
        <v>247</v>
      </c>
      <c r="C14" s="50">
        <f>'Quản lý sản phẩm'!A5</f>
        <v>10</v>
      </c>
      <c r="D14" s="50">
        <f>'Quản lý sản phẩm'!B5</f>
        <v>0</v>
      </c>
      <c r="E14" s="50">
        <f>'Quản lý sản phẩm'!C5</f>
        <v>0</v>
      </c>
      <c r="F14" s="50">
        <f>'Quản lý sản phẩm'!D5</f>
        <v>0</v>
      </c>
      <c r="G14" s="50">
        <f>'Quản lý sản phẩm'!E5</f>
        <v>10</v>
      </c>
    </row>
    <row r="15" ht="14.25" customHeight="1">
      <c r="A15" s="48">
        <v>5.0</v>
      </c>
      <c r="B15" s="49" t="s">
        <v>307</v>
      </c>
      <c r="C15" s="50">
        <f>'Giỏ hàng'!A5</f>
        <v>10</v>
      </c>
      <c r="D15" s="50">
        <f>'Giỏ hàng'!B5</f>
        <v>0</v>
      </c>
      <c r="E15" s="50">
        <f>'Giỏ hàng'!C5</f>
        <v>0</v>
      </c>
      <c r="F15" s="50">
        <f>'Giỏ hàng'!D5</f>
        <v>0</v>
      </c>
      <c r="G15" s="50">
        <f>'Giỏ hàng'!E5</f>
        <v>10</v>
      </c>
    </row>
    <row r="16" ht="14.25" customHeight="1">
      <c r="A16" s="48">
        <v>6.0</v>
      </c>
      <c r="B16" s="49" t="s">
        <v>110</v>
      </c>
      <c r="C16" s="50">
        <f>'Quản lý đơn hàng (User)'!A5</f>
        <v>10</v>
      </c>
      <c r="D16" s="50">
        <f>'Quản lý đơn hàng (User)'!B5</f>
        <v>0</v>
      </c>
      <c r="E16" s="50">
        <f>'Quản lý đơn hàng (User)'!C5</f>
        <v>0</v>
      </c>
      <c r="F16" s="50">
        <f>'Quản lý đơn hàng (User)'!D5</f>
        <v>0</v>
      </c>
      <c r="G16" s="50">
        <f>'Quản lý đơn hàng (User)'!E5</f>
        <v>10</v>
      </c>
    </row>
    <row r="17" ht="14.25" customHeight="1">
      <c r="A17" s="48">
        <v>7.0</v>
      </c>
      <c r="B17" s="49" t="s">
        <v>367</v>
      </c>
      <c r="C17" s="50">
        <f>'Đặt hàng'!A5</f>
        <v>7</v>
      </c>
      <c r="D17" s="50">
        <f>'Đặt hàng'!B5</f>
        <v>0</v>
      </c>
      <c r="E17" s="50">
        <f>'Đặt hàng'!C5</f>
        <v>0</v>
      </c>
      <c r="F17" s="50">
        <f>'Đặt hàng'!D5</f>
        <v>0</v>
      </c>
      <c r="G17" s="50">
        <f>'Đặt hàng'!E5</f>
        <v>7</v>
      </c>
    </row>
    <row r="18" ht="14.25" customHeight="1">
      <c r="A18" s="48">
        <v>8.0</v>
      </c>
      <c r="B18" s="49" t="s">
        <v>424</v>
      </c>
      <c r="C18" s="50">
        <f>'Thanh toán'!A5</f>
        <v>7</v>
      </c>
      <c r="D18" s="50">
        <f>'Thanh toán'!B5</f>
        <v>0</v>
      </c>
      <c r="E18" s="50">
        <f>'Thanh toán'!C5</f>
        <v>0</v>
      </c>
      <c r="F18" s="50">
        <f>'Thanh toán'!D5</f>
        <v>0</v>
      </c>
      <c r="G18" s="50">
        <f>'Thanh toán'!E5</f>
        <v>7</v>
      </c>
    </row>
    <row r="19" ht="14.25" customHeight="1">
      <c r="A19" s="51"/>
      <c r="B19" s="52" t="s">
        <v>425</v>
      </c>
      <c r="C19" s="53">
        <f t="shared" ref="C19:G19" si="1">SUM(C9:C18)</f>
        <v>72</v>
      </c>
      <c r="D19" s="53">
        <f t="shared" si="1"/>
        <v>0</v>
      </c>
      <c r="E19" s="53">
        <f t="shared" si="1"/>
        <v>0</v>
      </c>
      <c r="F19" s="53">
        <f t="shared" si="1"/>
        <v>0</v>
      </c>
      <c r="G19" s="54">
        <f t="shared" si="1"/>
        <v>72</v>
      </c>
    </row>
    <row r="20" ht="14.25" customHeight="1">
      <c r="A20" s="55"/>
      <c r="B20" s="30"/>
      <c r="C20" s="56"/>
      <c r="D20" s="57"/>
      <c r="E20" s="57"/>
      <c r="F20" s="57"/>
      <c r="G20" s="57"/>
    </row>
    <row r="21" ht="14.25" customHeight="1">
      <c r="A21" s="30"/>
      <c r="B21" s="58" t="s">
        <v>426</v>
      </c>
      <c r="C21" s="30"/>
      <c r="D21" s="59">
        <v>60.0</v>
      </c>
      <c r="E21" s="30" t="s">
        <v>427</v>
      </c>
      <c r="F21" s="30"/>
      <c r="G21" s="60"/>
    </row>
    <row r="22" ht="14.25" customHeight="1">
      <c r="A22" s="30"/>
      <c r="B22" s="58" t="s">
        <v>428</v>
      </c>
      <c r="C22" s="30"/>
      <c r="D22" s="61">
        <f>C19*100/(G19-F19)</f>
        <v>100</v>
      </c>
      <c r="E22" s="30" t="s">
        <v>427</v>
      </c>
      <c r="F22" s="30"/>
      <c r="G22" s="60"/>
    </row>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1">
    <mergeCell ref="B5:C5"/>
    <mergeCell ref="D5:E5"/>
    <mergeCell ref="F5:G5"/>
    <mergeCell ref="B6:G6"/>
    <mergeCell ref="A1:G1"/>
    <mergeCell ref="B3:C3"/>
    <mergeCell ref="D3:E3"/>
    <mergeCell ref="F3:G3"/>
    <mergeCell ref="B4:C4"/>
    <mergeCell ref="D4:E4"/>
    <mergeCell ref="F4:G4"/>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5"/>
    <col customWidth="1" min="2" max="2" width="24.88"/>
    <col customWidth="1" min="3" max="3" width="20.75"/>
    <col customWidth="1" min="4" max="4" width="52.5"/>
    <col customWidth="1" min="5" max="5" width="17.88"/>
    <col customWidth="1" min="6" max="6" width="8.63"/>
    <col customWidth="1" min="7" max="7" width="15.13"/>
    <col customWidth="1" min="8" max="8" width="11.63"/>
    <col customWidth="1" min="9" max="26" width="8.63"/>
  </cols>
  <sheetData>
    <row r="1" ht="14.25" customHeight="1">
      <c r="A1" s="1" t="s">
        <v>0</v>
      </c>
      <c r="B1" s="2" t="s">
        <v>424</v>
      </c>
      <c r="C1" s="3"/>
      <c r="D1" s="3"/>
      <c r="E1" s="3"/>
      <c r="F1" s="4"/>
    </row>
    <row r="2" ht="14.25" customHeight="1">
      <c r="A2" s="5" t="s">
        <v>2</v>
      </c>
      <c r="B2" s="2"/>
      <c r="C2" s="3"/>
      <c r="D2" s="3"/>
      <c r="E2" s="3"/>
      <c r="F2" s="4"/>
    </row>
    <row r="3" ht="14.25" customHeight="1">
      <c r="A3" s="1" t="s">
        <v>3</v>
      </c>
      <c r="B3" s="6"/>
      <c r="C3" s="7"/>
      <c r="D3" s="7"/>
      <c r="E3" s="7"/>
      <c r="F3" s="8"/>
    </row>
    <row r="4" ht="14.25" customHeight="1">
      <c r="A4" s="9" t="s">
        <v>4</v>
      </c>
      <c r="B4" s="10" t="s">
        <v>5</v>
      </c>
      <c r="C4" s="10" t="s">
        <v>6</v>
      </c>
      <c r="D4" s="11" t="s">
        <v>7</v>
      </c>
      <c r="E4" s="12" t="s">
        <v>8</v>
      </c>
      <c r="F4" s="4"/>
    </row>
    <row r="5" ht="14.25" customHeight="1">
      <c r="A5" s="13">
        <f>COUNTIF(F7:F1001,"Pass")</f>
        <v>7</v>
      </c>
      <c r="B5" s="14">
        <f>COUNTIF(F7:F1001,"Fail")</f>
        <v>0</v>
      </c>
      <c r="C5" s="14">
        <f>E5-D5-B5-A5</f>
        <v>0</v>
      </c>
      <c r="D5" s="15">
        <f>COUNTIF(F$8:F$1002,"N/A")</f>
        <v>0</v>
      </c>
      <c r="E5" s="16">
        <f>COUNTA(A8:A1001)</f>
        <v>7</v>
      </c>
      <c r="F5" s="17"/>
    </row>
    <row r="6" ht="14.25" customHeight="1"/>
    <row r="7" ht="14.25" customHeight="1">
      <c r="A7" s="18" t="s">
        <v>9</v>
      </c>
      <c r="B7" s="18" t="s">
        <v>10</v>
      </c>
      <c r="C7" s="18" t="s">
        <v>11</v>
      </c>
      <c r="D7" s="18" t="s">
        <v>429</v>
      </c>
      <c r="E7" s="18" t="s">
        <v>13</v>
      </c>
      <c r="F7" s="18" t="s">
        <v>14</v>
      </c>
      <c r="G7" s="18" t="s">
        <v>15</v>
      </c>
      <c r="H7" s="18" t="s">
        <v>16</v>
      </c>
    </row>
    <row r="8" ht="14.25" customHeight="1">
      <c r="A8" s="19" t="s">
        <v>430</v>
      </c>
      <c r="B8" s="20" t="s">
        <v>431</v>
      </c>
      <c r="C8" s="20" t="s">
        <v>432</v>
      </c>
      <c r="D8" s="20" t="s">
        <v>433</v>
      </c>
      <c r="E8" s="20" t="s">
        <v>434</v>
      </c>
      <c r="F8" s="20" t="s">
        <v>60</v>
      </c>
      <c r="G8" s="21">
        <v>46001.0</v>
      </c>
      <c r="H8" s="20" t="s">
        <v>435</v>
      </c>
    </row>
    <row r="9" ht="14.25" customHeight="1">
      <c r="A9" s="19" t="s">
        <v>436</v>
      </c>
      <c r="B9" s="20" t="s">
        <v>437</v>
      </c>
      <c r="C9" s="20" t="s">
        <v>438</v>
      </c>
      <c r="D9" s="20" t="s">
        <v>439</v>
      </c>
      <c r="E9" s="20" t="s">
        <v>440</v>
      </c>
      <c r="F9" s="20" t="s">
        <v>60</v>
      </c>
      <c r="G9" s="21">
        <v>46001.0</v>
      </c>
      <c r="H9" s="20" t="s">
        <v>441</v>
      </c>
    </row>
    <row r="10" ht="51.0" customHeight="1">
      <c r="A10" s="19" t="s">
        <v>442</v>
      </c>
      <c r="B10" s="20" t="s">
        <v>443</v>
      </c>
      <c r="C10" s="20" t="s">
        <v>444</v>
      </c>
      <c r="D10" s="20" t="s">
        <v>445</v>
      </c>
      <c r="E10" s="20" t="s">
        <v>446</v>
      </c>
      <c r="F10" s="20" t="s">
        <v>60</v>
      </c>
      <c r="G10" s="21">
        <v>46001.0</v>
      </c>
      <c r="H10" s="20" t="s">
        <v>447</v>
      </c>
    </row>
    <row r="11" ht="14.25" customHeight="1">
      <c r="A11" s="19" t="s">
        <v>448</v>
      </c>
      <c r="B11" s="20" t="s">
        <v>449</v>
      </c>
      <c r="C11" s="20" t="s">
        <v>450</v>
      </c>
      <c r="D11" s="20" t="s">
        <v>451</v>
      </c>
      <c r="E11" s="20" t="s">
        <v>452</v>
      </c>
      <c r="F11" s="20" t="s">
        <v>60</v>
      </c>
      <c r="G11" s="21">
        <v>46001.0</v>
      </c>
      <c r="H11" s="20" t="s">
        <v>453</v>
      </c>
    </row>
    <row r="12" ht="14.25" customHeight="1">
      <c r="A12" s="19" t="s">
        <v>454</v>
      </c>
      <c r="B12" s="20" t="s">
        <v>455</v>
      </c>
      <c r="C12" s="20" t="s">
        <v>456</v>
      </c>
      <c r="D12" s="20" t="s">
        <v>457</v>
      </c>
      <c r="E12" s="20" t="s">
        <v>458</v>
      </c>
      <c r="F12" s="20" t="s">
        <v>60</v>
      </c>
      <c r="G12" s="21">
        <v>46001.0</v>
      </c>
      <c r="H12" s="20" t="s">
        <v>459</v>
      </c>
    </row>
    <row r="13" ht="14.25" customHeight="1">
      <c r="A13" s="19" t="s">
        <v>460</v>
      </c>
      <c r="B13" s="20" t="s">
        <v>461</v>
      </c>
      <c r="C13" s="20" t="s">
        <v>462</v>
      </c>
      <c r="D13" s="20" t="s">
        <v>463</v>
      </c>
      <c r="E13" s="20" t="s">
        <v>464</v>
      </c>
      <c r="F13" s="20" t="s">
        <v>60</v>
      </c>
      <c r="G13" s="21">
        <v>46001.0</v>
      </c>
      <c r="H13" s="20" t="s">
        <v>465</v>
      </c>
    </row>
    <row r="14" ht="14.25" customHeight="1">
      <c r="A14" s="19" t="s">
        <v>466</v>
      </c>
      <c r="B14" s="20" t="s">
        <v>467</v>
      </c>
      <c r="C14" s="20" t="s">
        <v>468</v>
      </c>
      <c r="D14" s="20" t="s">
        <v>469</v>
      </c>
      <c r="E14" s="20" t="s">
        <v>470</v>
      </c>
      <c r="F14" s="20" t="s">
        <v>60</v>
      </c>
      <c r="G14" s="21">
        <v>46001.0</v>
      </c>
      <c r="H14" s="20" t="s">
        <v>471</v>
      </c>
    </row>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B1:F1"/>
    <mergeCell ref="B2:F2"/>
    <mergeCell ref="B3:F3"/>
    <mergeCell ref="E4:F4"/>
    <mergeCell ref="E5:F5"/>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2025-12-10T17:36:47Z</dcterms:created>
  <dc:creator>Lê Ngọc Hiệp</dc:creator>
</cp:coreProperties>
</file>