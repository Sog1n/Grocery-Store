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UnitTestCaseController" sheetId="2" r:id="rId5"/>
    <sheet state="visible" name="UnitTestCaseService" sheetId="3" r:id="rId6"/>
  </sheets>
  <definedNames>
    <definedName name="UnitUnderTest">#REF!</definedName>
  </definedNames>
  <calcPr/>
  <extLst>
    <ext uri="GoogleSheetsCustomDataVersion2">
      <go:sheetsCustomData xmlns:go="http://customooxmlschemas.google.com/" r:id="rId7" roundtripDataChecksum="+yclgxHBKEV7itjLV1Ac9fbgo8n/EjBNzbgvj6PtIgk="/>
    </ext>
  </extLst>
</workbook>
</file>

<file path=xl/sharedStrings.xml><?xml version="1.0" encoding="utf-8"?>
<sst xmlns="http://schemas.openxmlformats.org/spreadsheetml/2006/main" count="174" uniqueCount="119">
  <si>
    <t>Unit Test</t>
  </si>
  <si>
    <t>Project</t>
  </si>
  <si>
    <t>Bookstore Backend System</t>
  </si>
  <si>
    <t>Program / Division</t>
  </si>
  <si>
    <t>Kiểm Thử Phần Mềm</t>
  </si>
  <si>
    <t>Author / Technical Owner</t>
  </si>
  <si>
    <t>Approval Status</t>
  </si>
  <si>
    <t>[Draft / Reviewed / Approved]</t>
  </si>
  <si>
    <t>Effective Date</t>
  </si>
  <si>
    <t xml:space="preserve">Template Used: </t>
  </si>
  <si>
    <t>Unit Test.xls 1.0</t>
  </si>
  <si>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</si>
  <si>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</si>
  <si>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</si>
  <si>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</si>
  <si>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</si>
  <si>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</si>
  <si>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</si>
  <si>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</si>
  <si>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</si>
  <si>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TC_PROD_001</t>
  </si>
  <si>
    <t>getProductController</t>
  </si>
  <si>
    <t>Trả về danh sách sản phẩm với phân trang mặc định</t>
  </si>
  <si>
    <t>page: 1, limit: 10</t>
  </si>
  <si>
    <t>page: 1, limit: 10
Trả về danh sách sản phẩm đã publish, skip: 0, limit: 10, totalCount: 1, totalNoPage: 1</t>
  </si>
  <si>
    <t>TC_PROD_002</t>
  </si>
  <si>
    <t>Lọc sản phẩm theo từ khóa tìm kiếm</t>
  </si>
  <si>
    <t>search: "laptop"</t>
  </si>
  <si>
    <t>Query với $text: { $search: 'laptop' } và publish: true</t>
  </si>
  <si>
    <t>TC_PROD_003</t>
  </si>
  <si>
    <t>getProductByCategory</t>
  </si>
  <si>
    <t>Không cung cấp category id</t>
  </si>
  <si>
    <t xml:space="preserve">
{}</t>
  </si>
  <si>
    <t>Status 400, message: "provide category id", error: true</t>
  </si>
  <si>
    <t>TC_PROD_004</t>
  </si>
  <si>
    <t>Lọc sản phẩm theo category</t>
  </si>
  <si>
    <t>Trả về sản phẩm với category: { $in: [...] } và publish: true, limit: 15</t>
  </si>
  <si>
    <t>TC_PROD_005</t>
  </si>
  <si>
    <t>getProductDetails</t>
  </si>
  <si>
    <t>Sản phẩm không tồn tại</t>
  </si>
  <si>
    <t>productId: "p999"</t>
  </si>
  <si>
    <t xml:space="preserve">
Status 404, message: "Product not found", error: true</t>
  </si>
  <si>
    <t>TC_PROD_006</t>
  </si>
  <si>
    <t>Sản phẩm có publish = true</t>
  </si>
  <si>
    <t>productId: "p1" (product.publish = true)</t>
  </si>
  <si>
    <t>success: true, data: product, isDiscontinued: false</t>
  </si>
  <si>
    <t>TC_PROD_007</t>
  </si>
  <si>
    <t>searchProduct</t>
  </si>
  <si>
    <t>Tìm kiếm theo text với regex</t>
  </si>
  <si>
    <t>Query với publish: true và $or có 2 điều kiện regex</t>
  </si>
  <si>
    <t>ADDR-001</t>
  </si>
  <si>
    <t>addAddressController</t>
  </si>
  <si>
    <t>Tạo địa chỉ mới thành công và thêm vào user</t>
  </si>
  <si>
    <t>userId: 'u1', address_line: '123', city: 'C', state: 'S', pincode: '10000', country: 'VN', mobile: '0123'</t>
  </si>
  <si>
    <t>Trả về danh sách 1 địa chỉ</t>
  </si>
  <si>
    <t>ADDR-002</t>
  </si>
  <si>
    <t>Xử lý lỗi khi không thể lưu địa chỉ</t>
  </si>
  <si>
    <t>userId: 'u1', address_line: 'x' (save throw error)</t>
  </si>
  <si>
    <t>Response status: 500
 - Response: {error: true}</t>
  </si>
  <si>
    <t>ADDR-003</t>
  </si>
  <si>
    <t>getAddressController</t>
  </si>
  <si>
    <t>Lấy danh sách địa chỉ của user thành công</t>
  </si>
  <si>
    <t>userId: 'u1'</t>
  </si>
  <si>
    <t>Gọi AddressModel.find({userId: 'u1'})
 - Sắp xếp theo createdAt giảm dần
 - Response: {success: true, error: false, data: [addresses]}</t>
  </si>
  <si>
    <t>ADDR-004</t>
  </si>
  <si>
    <t>Xử lý lỗi khi không thể lấy danh sách địa chỉ</t>
  </si>
  <si>
    <t>userId: 'u1' (find throw error)</t>
  </si>
  <si>
    <t>- Response status: 500 
- Response: {error: true}</t>
  </si>
  <si>
    <t>ADDR-005</t>
  </si>
  <si>
    <t>updateAddressController</t>
  </si>
  <si>
    <t>Cập nhật địa chỉ thành công</t>
  </si>
  <si>
    <t>userId: 'u1', _id: 'a1', address_line: 'new', city: 'C', state: 'S', country: 'VN', pincode: '10000', mobile: '09'</t>
  </si>
  <si>
    <t>- Gọi updateOne với điều kiện {_id, userId}
- Cập nhật các trường thông tin 
- Response: {success: true, error: false, data: updateResult}</t>
  </si>
  <si>
    <t>USER-001</t>
  </si>
  <si>
    <t>loginController</t>
  </si>
  <si>
    <t>Trả về lỗi 400 khi thiếu email hoặc password</t>
  </si>
  <si>
    <t>body: {}</t>
  </si>
  <si>
    <t>- Response status: 400 
- Response: {error: true, success: false}</t>
  </si>
  <si>
    <t>USER-002</t>
  </si>
  <si>
    <t>Trả về lỗi 400 khi user chưa đăng ký</t>
  </si>
  <si>
    <t>email: 'a@b.com', password: '123' (user không tồn tại)</t>
  </si>
  <si>
    <t>- Gọi UserModel.findOne({email}) 
- Response status: 400 
- Response: {error: true}</t>
  </si>
  <si>
    <t>USER-003</t>
  </si>
  <si>
    <t>Trả về lỗi 400 khi user không ở trạng thái Active</t>
  </si>
  <si>
    <t>email: 'a@b.com', password: '123' (user.status='Pending')</t>
  </si>
  <si>
    <t>- Response status: 400 
- Response: {error: true}</t>
  </si>
  <si>
    <t>USER-004</t>
  </si>
  <si>
    <t>Trả về lỗi 400 khi mật khẩu sai</t>
  </si>
  <si>
    <t>email: 'a@b.com', password: 'wrong' (bcrypt.compare=false)</t>
  </si>
  <si>
    <t>- Gọi bcrypt.compare('wrong', 'hashed') 
- Response status: 400 
- Response: {error: true}</t>
  </si>
  <si>
    <t>USER-005</t>
  </si>
  <si>
    <t>logoutController</t>
  </si>
  <si>
    <t>Logout thành công, xóa cookies accessToken và refreshToken</t>
  </si>
  <si>
    <t>userId: 'u1', cookies: {accessToken, refreshToken}</t>
  </si>
  <si>
    <t>- Xóa cookie accessToken 
- Xóa cookie refreshToken 
- Response: {error: false, success: true}</t>
  </si>
  <si>
    <t>USER-006</t>
  </si>
  <si>
    <t>registerUserController</t>
  </si>
  <si>
    <t>Trả về lỗi 400 khi thiếu các trường bắt buộc</t>
  </si>
  <si>
    <t>USER-007</t>
  </si>
  <si>
    <t>Trả về lỗi 400 khi user đã tồn tại</t>
  </si>
  <si>
    <t>name: 'Test', email: 'a@b.com' (email đã tồn tại)</t>
  </si>
  <si>
    <t>USER-008</t>
  </si>
  <si>
    <t>Đăng ký thành công: hash password, lưu user, gửi email xác thực</t>
  </si>
  <si>
    <t>name: 'n', email: 'a@b.com', password: 'plain'</t>
  </si>
  <si>
    <t>- Gọi bcrypt.genSalt() và bcrypt.hash() 
- Lưu user với password đã hash 
- Gửi email xác thực
- Response: {success: true, error: false}</t>
  </si>
  <si>
    <t>USER-009</t>
  </si>
  <si>
    <t>updateUserDetails</t>
  </si>
  <si>
    <t>Cập nhật thông tin user và hash password mới</t>
  </si>
  <si>
    <t>userId: 'u1', name: 'New', email: 'n@e', password: 'pw'</t>
  </si>
  <si>
    <t>- Hash password mới với bcrypt 
- Gọi UserModel.updateOne({_id}, {name, email, password}) 
- Response: {success: true}</t>
  </si>
  <si>
    <t>USER-010</t>
  </si>
  <si>
    <t>forgotPasswordController</t>
  </si>
  <si>
    <t>Trả về lỗi 400 khi user không tồn tại</t>
  </si>
  <si>
    <t>email: 'x@y' (không tồn tại)</t>
  </si>
  <si>
    <t>- Response status: 400</t>
  </si>
  <si>
    <t>USER-011</t>
  </si>
  <si>
    <t>Tạo OTP, lưu vào DB và gửi email reset password</t>
  </si>
  <si>
    <t>email: 'x@y' (hợp lệ)</t>
  </si>
  <si>
    <t>- Gọi generatedOtp() 
- Cập nhật forgot_password_otp và expiry 
- Gửi email với OTP 
- Response: {success: true}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</si>
</sst>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11">
    <font>
      <sz val="10.0"/>
      <color rgb="FF000000"/>
      <name val="Arial"/>
      <scheme val="minor"/>
    </font>
    <font>
      <sz val="14.0"/>
      <color theme="1"/>
      <name val="Arial"/>
    </font>
    <font>
      <b/>
      <i/>
      <sz val="10.0"/>
      <color rgb="FFFFFFFF"/>
      <name val="Arial"/>
    </font>
    <font>
      <sz val="10.0"/>
      <color theme="1"/>
      <name val="Arial"/>
    </font>
    <font>
      <i/>
      <sz val="8.0"/>
      <color rgb="FF333333"/>
      <name val="Arial"/>
    </font>
    <font>
      <b/>
      <sz val="10.0"/>
      <color theme="1"/>
      <name val="Arial"/>
    </font>
    <font>
      <b/>
      <sz val="8.0"/>
      <color theme="1"/>
      <name val="Arial"/>
    </font>
    <font>
      <b/>
      <sz val="8.0"/>
      <color rgb="FFFFFFFF"/>
      <name val="Arial"/>
    </font>
    <font>
      <b/>
      <i/>
      <sz val="10.0"/>
      <color theme="1"/>
      <name val="Arial"/>
    </font>
    <font>
      <b/>
      <sz val="10.0"/>
      <color theme="1"/>
      <name val="Arial Narrow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shrinkToFit="0" wrapText="1"/>
    </xf>
    <xf borderId="1" fillId="3" fontId="3" numFmtId="0" xfId="0" applyAlignment="1" applyBorder="1" applyFill="1" applyFont="1">
      <alignment shrinkToFit="0" wrapText="1"/>
    </xf>
    <xf borderId="1" fillId="3" fontId="3" numFmtId="14" xfId="0" applyAlignment="1" applyBorder="1" applyFont="1" applyNumberFormat="1">
      <alignment shrinkToFit="0" wrapText="1"/>
    </xf>
    <xf borderId="0" fillId="0" fontId="4" numFmtId="0" xfId="0" applyAlignment="1" applyFont="1">
      <alignment horizontal="left"/>
    </xf>
    <xf borderId="0" fillId="0" fontId="5" numFmtId="0" xfId="0" applyFont="1"/>
    <xf borderId="0" fillId="0" fontId="3" numFmtId="0" xfId="0" applyFont="1"/>
    <xf borderId="0" fillId="0" fontId="4" numFmtId="0" xfId="0" applyAlignment="1" applyFont="1">
      <alignment horizontal="left" shrinkToFit="0" wrapText="1"/>
    </xf>
    <xf borderId="2" fillId="3" fontId="3" numFmtId="0" xfId="0" applyBorder="1" applyFont="1"/>
    <xf borderId="2" fillId="3" fontId="6" numFmtId="0" xfId="0" applyAlignment="1" applyBorder="1" applyFont="1">
      <alignment horizontal="right" shrinkToFit="0" vertical="center" wrapText="1"/>
    </xf>
    <xf borderId="2" fillId="4" fontId="7" numFmtId="164" xfId="0" applyAlignment="1" applyBorder="1" applyFill="1" applyFont="1" applyNumberFormat="1">
      <alignment horizontal="center" shrinkToFit="0" vertical="center" wrapText="1"/>
    </xf>
    <xf borderId="2" fillId="3" fontId="3" numFmtId="0" xfId="0" applyAlignment="1" applyBorder="1" applyFont="1">
      <alignment shrinkToFit="0" wrapText="1"/>
    </xf>
    <xf borderId="3" fillId="5" fontId="8" numFmtId="0" xfId="0" applyAlignment="1" applyBorder="1" applyFill="1" applyFont="1">
      <alignment horizontal="right" shrinkToFit="0" wrapText="1"/>
    </xf>
    <xf borderId="4" fillId="5" fontId="3" numFmtId="0" xfId="0" applyAlignment="1" applyBorder="1" applyFont="1">
      <alignment horizontal="center" shrinkToFit="0" wrapText="1"/>
    </xf>
    <xf borderId="5" fillId="5" fontId="8" numFmtId="0" xfId="0" applyAlignment="1" applyBorder="1" applyFont="1">
      <alignment horizontal="right" shrinkToFit="0" wrapText="1"/>
    </xf>
    <xf borderId="6" fillId="5" fontId="3" numFmtId="0" xfId="0" applyAlignment="1" applyBorder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0" fillId="0" fontId="10" numFmtId="0" xfId="0" applyAlignment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75"/>
    <col customWidth="1" min="3" max="3" width="34.0"/>
    <col customWidth="1" min="4" max="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8.0" customHeight="1">
      <c r="B7" s="1" t="s">
        <v>0</v>
      </c>
    </row>
    <row r="8" ht="12.75" customHeight="1"/>
    <row r="9" ht="12.75" customHeight="1"/>
    <row r="10" ht="12.75" customHeight="1"/>
    <row r="11" ht="12.75" customHeight="1">
      <c r="B11" s="2" t="s">
        <v>1</v>
      </c>
      <c r="C11" s="3" t="s">
        <v>2</v>
      </c>
    </row>
    <row r="12" ht="12.75" customHeight="1">
      <c r="B12" s="2" t="s">
        <v>3</v>
      </c>
      <c r="C12" s="3" t="s">
        <v>4</v>
      </c>
    </row>
    <row r="13" ht="12.75" customHeight="1">
      <c r="B13" s="2" t="s">
        <v>5</v>
      </c>
      <c r="C13" s="3"/>
    </row>
    <row r="14" ht="12.75" customHeight="1">
      <c r="B14" s="2" t="s">
        <v>6</v>
      </c>
      <c r="C14" s="3" t="s">
        <v>7</v>
      </c>
    </row>
    <row r="15" ht="12.75" customHeight="1">
      <c r="B15" s="2" t="s">
        <v>8</v>
      </c>
      <c r="C15" s="4">
        <v>45942.0</v>
      </c>
    </row>
    <row r="16" ht="12.75" customHeight="1">
      <c r="C16" s="5"/>
    </row>
    <row r="17" ht="12.75" customHeight="1"/>
    <row r="18" ht="12.75" customHeight="1">
      <c r="B18" s="6" t="s">
        <v>9</v>
      </c>
      <c r="C18" s="7" t="s">
        <v>10</v>
      </c>
    </row>
    <row r="19" ht="12.75" customHeight="1"/>
    <row r="20" ht="12.75" customHeight="1"/>
    <row r="21" ht="12.75" customHeight="1"/>
    <row r="22" ht="12.75" customHeight="1"/>
    <row r="23" ht="12.75" customHeight="1">
      <c r="B23" s="8"/>
      <c r="C23" s="5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0"/>
    <col customWidth="1" min="2" max="2" width="21.5"/>
    <col customWidth="1" min="3" max="3" width="25.5"/>
    <col customWidth="1" min="4" max="4" width="36.88"/>
    <col customWidth="1" min="5" max="5" width="42.5"/>
    <col customWidth="1" min="6" max="6" width="37.13"/>
    <col customWidth="1" min="7" max="7" width="12.38"/>
    <col customWidth="1" min="8" max="26" width="8.0"/>
  </cols>
  <sheetData>
    <row r="1" ht="12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10" t="s">
        <v>11</v>
      </c>
      <c r="C2" s="11">
        <v>45912.0</v>
      </c>
      <c r="D2" s="12"/>
      <c r="E2" s="12"/>
      <c r="F2" s="12"/>
      <c r="G2" s="12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12"/>
      <c r="C3" s="12"/>
      <c r="D3" s="12"/>
      <c r="E3" s="12"/>
      <c r="F3" s="13" t="s">
        <v>12</v>
      </c>
      <c r="G3" s="14">
        <f>COUNTIF($G$5:$G$1002,"Passed")</f>
        <v>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12"/>
      <c r="C4" s="12"/>
      <c r="D4" s="12"/>
      <c r="E4" s="12"/>
      <c r="F4" s="15" t="s">
        <v>13</v>
      </c>
      <c r="G4" s="16">
        <f>COUNTIF($G$5:$G$1002,"Failed")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17" t="s">
        <v>14</v>
      </c>
      <c r="C5" s="17" t="s">
        <v>15</v>
      </c>
      <c r="D5" s="17" t="s">
        <v>16</v>
      </c>
      <c r="E5" s="17" t="s">
        <v>17</v>
      </c>
      <c r="F5" s="17" t="s">
        <v>18</v>
      </c>
      <c r="G5" s="17" t="s">
        <v>19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54.0" customHeight="1">
      <c r="A6" s="9"/>
      <c r="B6" s="18" t="s">
        <v>20</v>
      </c>
      <c r="C6" s="18" t="s">
        <v>21</v>
      </c>
      <c r="D6" s="18" t="s">
        <v>22</v>
      </c>
      <c r="E6" s="19" t="s">
        <v>23</v>
      </c>
      <c r="F6" s="19" t="s">
        <v>24</v>
      </c>
      <c r="G6" s="3" t="s">
        <v>12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57.75" customHeight="1">
      <c r="A7" s="9"/>
      <c r="B7" s="18" t="s">
        <v>25</v>
      </c>
      <c r="C7" s="18" t="s">
        <v>21</v>
      </c>
      <c r="D7" s="18" t="s">
        <v>26</v>
      </c>
      <c r="E7" s="19" t="s">
        <v>27</v>
      </c>
      <c r="F7" s="19" t="s">
        <v>28</v>
      </c>
      <c r="G7" s="3" t="s">
        <v>12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61.5" customHeight="1">
      <c r="A8" s="9"/>
      <c r="B8" s="18" t="s">
        <v>29</v>
      </c>
      <c r="C8" s="19" t="s">
        <v>30</v>
      </c>
      <c r="D8" s="19" t="s">
        <v>31</v>
      </c>
      <c r="E8" s="19" t="s">
        <v>32</v>
      </c>
      <c r="F8" s="19" t="s">
        <v>33</v>
      </c>
      <c r="G8" s="3" t="s">
        <v>12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68.25" customHeight="1">
      <c r="A9" s="9"/>
      <c r="B9" s="18" t="s">
        <v>34</v>
      </c>
      <c r="C9" s="19" t="s">
        <v>30</v>
      </c>
      <c r="D9" s="19" t="s">
        <v>35</v>
      </c>
      <c r="E9" s="19" t="s">
        <v>36</v>
      </c>
      <c r="F9" s="19" t="s">
        <v>36</v>
      </c>
      <c r="G9" s="3" t="s">
        <v>12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55.5" customHeight="1">
      <c r="A10" s="9"/>
      <c r="B10" s="18" t="s">
        <v>37</v>
      </c>
      <c r="C10" s="18" t="s">
        <v>38</v>
      </c>
      <c r="D10" s="19" t="s">
        <v>39</v>
      </c>
      <c r="E10" s="19" t="s">
        <v>40</v>
      </c>
      <c r="F10" s="18" t="s">
        <v>41</v>
      </c>
      <c r="G10" s="3" t="s">
        <v>12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48.75" customHeight="1">
      <c r="A11" s="9"/>
      <c r="B11" s="19" t="s">
        <v>42</v>
      </c>
      <c r="C11" s="19" t="s">
        <v>38</v>
      </c>
      <c r="D11" s="19" t="s">
        <v>43</v>
      </c>
      <c r="E11" s="19" t="s">
        <v>44</v>
      </c>
      <c r="F11" s="19" t="s">
        <v>45</v>
      </c>
      <c r="G11" s="19" t="s">
        <v>12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0.0" customHeight="1">
      <c r="A12" s="9"/>
      <c r="B12" s="19" t="s">
        <v>46</v>
      </c>
      <c r="C12" s="19" t="s">
        <v>47</v>
      </c>
      <c r="D12" s="19" t="s">
        <v>48</v>
      </c>
      <c r="E12" s="19" t="s">
        <v>27</v>
      </c>
      <c r="F12" s="19" t="s">
        <v>49</v>
      </c>
      <c r="G12" s="19" t="s">
        <v>12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dataValidations>
    <dataValidation type="list" allowBlank="1" showInputMessage="1" showErrorMessage="1" prompt=" - " sqref="G6:G12">
      <formula1>"Passed,Failed"</formula1>
    </dataValidation>
  </dataValidations>
  <printOptions/>
  <pageMargins bottom="0.75" footer="0.0" header="0.0" left="0.7" right="0.7" top="0.75"/>
  <pageSetup orientation="landscape"/>
  <headerFooter>
    <oddHeader/>
    <oddFooter>&amp;LCopyright © IBM GDC Vietnam - All Rights Reserved&amp;C&amp;F &amp;A Sheet&amp;RPage &amp;P of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0"/>
    <col customWidth="1" min="2" max="2" width="20.38"/>
    <col customWidth="1" min="3" max="3" width="24.88"/>
    <col customWidth="1" min="4" max="4" width="36.88"/>
    <col customWidth="1" min="5" max="5" width="68.13"/>
    <col customWidth="1" min="6" max="6" width="63.13"/>
    <col customWidth="1" min="7" max="7" width="12.38"/>
    <col customWidth="1" min="8" max="26" width="8.0"/>
  </cols>
  <sheetData>
    <row r="1" ht="12.7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2.75" customHeight="1">
      <c r="A2" s="12"/>
      <c r="B2" s="10" t="s">
        <v>11</v>
      </c>
      <c r="C2" s="11">
        <v>45912.0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12"/>
      <c r="B3" s="12"/>
      <c r="C3" s="12"/>
      <c r="D3" s="12"/>
      <c r="E3" s="12"/>
      <c r="F3" s="13" t="s">
        <v>12</v>
      </c>
      <c r="G3" s="14">
        <f>COUNTIF($G$5:$G$1034,"Passed")</f>
        <v>23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2"/>
      <c r="B4" s="12"/>
      <c r="C4" s="12"/>
      <c r="D4" s="12"/>
      <c r="E4" s="12"/>
      <c r="F4" s="15" t="s">
        <v>13</v>
      </c>
      <c r="G4" s="16">
        <f>COUNTIF($G$5:$G$1034,"Failed")</f>
        <v>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2"/>
      <c r="B5" s="17" t="s">
        <v>14</v>
      </c>
      <c r="C5" s="17" t="s">
        <v>15</v>
      </c>
      <c r="D5" s="17" t="s">
        <v>16</v>
      </c>
      <c r="E5" s="17" t="s">
        <v>17</v>
      </c>
      <c r="F5" s="17" t="s">
        <v>18</v>
      </c>
      <c r="G5" s="17" t="s">
        <v>19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9" t="s">
        <v>50</v>
      </c>
      <c r="C6" s="19" t="s">
        <v>51</v>
      </c>
      <c r="D6" s="19" t="s">
        <v>52</v>
      </c>
      <c r="E6" s="19" t="s">
        <v>53</v>
      </c>
      <c r="F6" s="20" t="s">
        <v>54</v>
      </c>
      <c r="G6" s="3" t="s">
        <v>12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9" t="s">
        <v>55</v>
      </c>
      <c r="C7" s="19" t="s">
        <v>51</v>
      </c>
      <c r="D7" s="19" t="s">
        <v>56</v>
      </c>
      <c r="E7" s="19" t="s">
        <v>57</v>
      </c>
      <c r="F7" s="19" t="s">
        <v>58</v>
      </c>
      <c r="G7" s="3" t="s">
        <v>12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9" t="s">
        <v>59</v>
      </c>
      <c r="C8" s="19" t="s">
        <v>60</v>
      </c>
      <c r="D8" s="18" t="s">
        <v>61</v>
      </c>
      <c r="E8" s="18" t="s">
        <v>62</v>
      </c>
      <c r="F8" s="18" t="s">
        <v>63</v>
      </c>
      <c r="G8" s="3" t="s">
        <v>12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9" t="s">
        <v>64</v>
      </c>
      <c r="C9" s="18" t="s">
        <v>60</v>
      </c>
      <c r="D9" s="18" t="s">
        <v>65</v>
      </c>
      <c r="E9" s="18" t="s">
        <v>66</v>
      </c>
      <c r="F9" s="18" t="s">
        <v>67</v>
      </c>
      <c r="G9" s="3" t="s">
        <v>12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8" t="s">
        <v>68</v>
      </c>
      <c r="C10" s="18" t="s">
        <v>69</v>
      </c>
      <c r="D10" s="18" t="s">
        <v>70</v>
      </c>
      <c r="E10" s="18" t="s">
        <v>71</v>
      </c>
      <c r="F10" s="18" t="s">
        <v>72</v>
      </c>
      <c r="G10" s="3" t="s">
        <v>12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3"/>
      <c r="C11" s="20"/>
      <c r="D11" s="20"/>
      <c r="E11" s="20"/>
      <c r="F11" s="20"/>
      <c r="G11" s="3" t="s">
        <v>12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3"/>
      <c r="C12" s="20"/>
      <c r="D12" s="20"/>
      <c r="E12" s="20"/>
      <c r="F12" s="20"/>
      <c r="G12" s="3" t="s">
        <v>12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3"/>
      <c r="C13" s="20"/>
      <c r="D13" s="20"/>
      <c r="E13" s="20"/>
      <c r="F13" s="20"/>
      <c r="G13" s="3" t="s">
        <v>12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3"/>
      <c r="C14" s="20"/>
      <c r="D14" s="20"/>
      <c r="E14" s="20"/>
      <c r="F14" s="20"/>
      <c r="G14" s="3" t="s">
        <v>12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3"/>
      <c r="C15" s="20"/>
      <c r="D15" s="20"/>
      <c r="E15" s="20"/>
      <c r="F15" s="20"/>
      <c r="G15" s="3" t="s">
        <v>12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3"/>
      <c r="C16" s="20"/>
      <c r="D16" s="20"/>
      <c r="E16" s="20"/>
      <c r="F16" s="20"/>
      <c r="G16" s="3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9" t="s">
        <v>73</v>
      </c>
      <c r="C17" s="19" t="s">
        <v>74</v>
      </c>
      <c r="D17" s="21" t="s">
        <v>75</v>
      </c>
      <c r="E17" s="21" t="s">
        <v>76</v>
      </c>
      <c r="F17" s="21" t="s">
        <v>77</v>
      </c>
      <c r="G17" s="3" t="s">
        <v>12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9" t="s">
        <v>78</v>
      </c>
      <c r="C18" s="21" t="s">
        <v>74</v>
      </c>
      <c r="D18" s="21" t="s">
        <v>79</v>
      </c>
      <c r="E18" s="21" t="s">
        <v>80</v>
      </c>
      <c r="F18" s="21" t="s">
        <v>81</v>
      </c>
      <c r="G18" s="3" t="s">
        <v>12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9" t="s">
        <v>82</v>
      </c>
      <c r="C19" s="21" t="s">
        <v>74</v>
      </c>
      <c r="D19" s="21" t="s">
        <v>83</v>
      </c>
      <c r="E19" s="21" t="s">
        <v>84</v>
      </c>
      <c r="F19" s="21" t="s">
        <v>85</v>
      </c>
      <c r="G19" s="3" t="s">
        <v>12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9" t="s">
        <v>86</v>
      </c>
      <c r="C20" s="21" t="s">
        <v>74</v>
      </c>
      <c r="D20" s="21" t="s">
        <v>87</v>
      </c>
      <c r="E20" s="21" t="s">
        <v>88</v>
      </c>
      <c r="F20" s="21" t="s">
        <v>89</v>
      </c>
      <c r="G20" s="3" t="s">
        <v>12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9" t="s">
        <v>90</v>
      </c>
      <c r="C21" s="21" t="s">
        <v>91</v>
      </c>
      <c r="D21" s="21" t="s">
        <v>92</v>
      </c>
      <c r="E21" s="21" t="s">
        <v>93</v>
      </c>
      <c r="F21" s="21" t="s">
        <v>94</v>
      </c>
      <c r="G21" s="3" t="s">
        <v>12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21" t="s">
        <v>95</v>
      </c>
      <c r="C22" s="21" t="s">
        <v>96</v>
      </c>
      <c r="D22" s="21" t="s">
        <v>97</v>
      </c>
      <c r="E22" s="21" t="s">
        <v>76</v>
      </c>
      <c r="F22" s="21" t="s">
        <v>85</v>
      </c>
      <c r="G22" s="3" t="s">
        <v>12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8" t="s">
        <v>98</v>
      </c>
      <c r="C23" s="21" t="s">
        <v>96</v>
      </c>
      <c r="D23" s="21" t="s">
        <v>99</v>
      </c>
      <c r="E23" s="21" t="s">
        <v>100</v>
      </c>
      <c r="F23" s="21" t="s">
        <v>81</v>
      </c>
      <c r="G23" s="3" t="s">
        <v>12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8" t="s">
        <v>101</v>
      </c>
      <c r="C24" s="21" t="s">
        <v>96</v>
      </c>
      <c r="D24" s="21" t="s">
        <v>102</v>
      </c>
      <c r="E24" s="21" t="s">
        <v>103</v>
      </c>
      <c r="F24" s="21" t="s">
        <v>104</v>
      </c>
      <c r="G24" s="3" t="s">
        <v>12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9" t="s">
        <v>105</v>
      </c>
      <c r="C25" s="19" t="s">
        <v>106</v>
      </c>
      <c r="D25" s="19" t="s">
        <v>107</v>
      </c>
      <c r="E25" s="19" t="s">
        <v>108</v>
      </c>
      <c r="F25" s="19" t="s">
        <v>109</v>
      </c>
      <c r="G25" s="3" t="s">
        <v>12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9" t="s">
        <v>110</v>
      </c>
      <c r="C26" s="19" t="s">
        <v>111</v>
      </c>
      <c r="D26" s="19" t="s">
        <v>112</v>
      </c>
      <c r="E26" s="19" t="s">
        <v>113</v>
      </c>
      <c r="F26" s="19" t="s">
        <v>114</v>
      </c>
      <c r="G26" s="3" t="s">
        <v>12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21" t="s">
        <v>115</v>
      </c>
      <c r="C27" s="21" t="s">
        <v>111</v>
      </c>
      <c r="D27" s="18" t="s">
        <v>116</v>
      </c>
      <c r="E27" s="19" t="s">
        <v>117</v>
      </c>
      <c r="F27" s="19" t="s">
        <v>118</v>
      </c>
      <c r="G27" s="3" t="s">
        <v>12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C28" s="20"/>
      <c r="D28" s="20"/>
      <c r="E28" s="20"/>
      <c r="F28" s="20"/>
      <c r="G28" s="3" t="s">
        <v>12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C29" s="20"/>
      <c r="D29" s="20"/>
      <c r="E29" s="20"/>
      <c r="F29" s="3"/>
      <c r="G29" s="3" t="s">
        <v>12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8"/>
      <c r="C30" s="3"/>
      <c r="D30" s="3"/>
      <c r="E30" s="3"/>
      <c r="F30" s="3"/>
      <c r="G30" s="3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C31" s="3"/>
      <c r="D31" s="3"/>
      <c r="E31" s="3"/>
      <c r="F31" s="3"/>
      <c r="G31" s="3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9"/>
      <c r="C32" s="3"/>
      <c r="D32" s="3"/>
      <c r="E32" s="3"/>
      <c r="F32" s="3"/>
      <c r="G32" s="3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9"/>
      <c r="C33" s="3"/>
      <c r="D33" s="3"/>
      <c r="E33" s="3"/>
      <c r="F33" s="3"/>
      <c r="G33" s="3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9"/>
      <c r="C34" s="3"/>
      <c r="D34" s="3"/>
      <c r="E34" s="3"/>
      <c r="F34" s="3"/>
      <c r="G34" s="3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9"/>
      <c r="C35" s="3"/>
      <c r="D35" s="3"/>
      <c r="E35" s="3"/>
      <c r="F35" s="3"/>
      <c r="G35" s="3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9"/>
      <c r="C36" s="3"/>
      <c r="D36" s="3"/>
      <c r="E36" s="3"/>
      <c r="F36" s="3"/>
      <c r="G36" s="3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C37" s="3"/>
      <c r="D37" s="3"/>
      <c r="E37" s="3"/>
      <c r="F37" s="3"/>
      <c r="G37" s="3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C38" s="3"/>
      <c r="D38" s="3"/>
      <c r="E38" s="3"/>
      <c r="F38" s="3"/>
      <c r="G38" s="3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C39" s="3"/>
      <c r="D39" s="3"/>
      <c r="E39" s="3"/>
      <c r="F39" s="3"/>
      <c r="G39" s="3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8"/>
      <c r="C40" s="3"/>
      <c r="D40" s="3"/>
      <c r="E40" s="3"/>
      <c r="F40" s="3"/>
      <c r="G40" s="3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9"/>
      <c r="C41" s="3"/>
      <c r="D41" s="3"/>
      <c r="E41" s="3"/>
      <c r="F41" s="3"/>
      <c r="G41" s="3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9"/>
      <c r="C42" s="3"/>
      <c r="D42" s="3"/>
      <c r="E42" s="3"/>
      <c r="F42" s="3"/>
      <c r="G42" s="3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9"/>
      <c r="C43" s="3"/>
      <c r="D43" s="3"/>
      <c r="E43" s="3"/>
      <c r="F43" s="3"/>
      <c r="G43" s="3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3"/>
      <c r="C44" s="3"/>
      <c r="D44" s="3"/>
      <c r="E44" s="3"/>
      <c r="F44" s="3"/>
      <c r="G44" s="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>
    <dataValidation type="list" allowBlank="1" showInputMessage="1" showErrorMessage="1" prompt=" - " sqref="G6:G44">
      <formula1>"Passed,Failed"</formula1>
    </dataValidation>
    <dataValidation type="list" allowBlank="1" showInputMessage="1" showErrorMessage="1" prompt=" - " sqref="C30:C44">
      <formula1>UnitUnderTest</formula1>
    </dataValidation>
  </dataValidations>
  <printOptions/>
  <pageMargins bottom="0.75" footer="0.0" header="0.0" left="0.7" right="0.7" top="0.75"/>
  <pageSetup orientation="landscape"/>
  <headerFooter>
    <oddHeader/>
    <oddFooter>&amp;LCopyright © IBM GDC Vietnam - All Rights Reserved&amp;C&amp;F &amp;A Sheet&amp;RPage &amp;P of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